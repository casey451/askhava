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ettings" sheetId="2" state="visible" r:id="rId4"/>
    <sheet name="Rules" sheetId="3" state="visible" r:id="rId5"/>
    <sheet name="Businesses" sheetId="4" state="visible" r:id="rId6"/>
    <sheet name="Requests" sheetId="5" state="visible" r:id="rId7"/>
    <sheet name="Quotes" sheetId="6" state="visible" r:id="rId8"/>
    <sheet name="Picks" sheetId="7" state="visible" r:id="rId9"/>
    <sheet name="Nudges" sheetId="8" state="visible" r:id="rId10"/>
    <sheet name="Posts" sheetId="9" state="visible" r:id="rId11"/>
    <sheet name="Weekly" sheetId="10" state="visible" r:id="rId12"/>
    <sheet name="Scorecard" sheetId="11" state="visible" r:id="rId13"/>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FEE-001: $25 under $500, $75 from $500 to $1,500, $199 over $1,500. Ongoing services: enter 4 months of the monthly price as the quote price; the $75 cap for ongoing work (FEE-039) isn't applied here, so check those by hand.</t>
        </r>
      </text>
    </comment>
  </commentList>
</comments>
</file>

<file path=xl/sharedStrings.xml><?xml version="1.0" encoding="utf-8"?>
<sst xmlns="http://schemas.openxmlformats.org/spreadsheetml/2006/main" count="841" uniqueCount="401">
  <si>
    <t xml:space="preserve">Ask Hava hand-run test tracker</t>
  </si>
  <si>
    <t xml:space="preserve">Goes with docs/pilot/hand-run-test.md (the playbook). Import into Google Sheets: Drive &gt; New &gt; File upload, then Open with Google Sheets.</t>
  </si>
  <si>
    <t xml:space="preserve">How the colors work</t>
  </si>
  <si>
    <t xml:space="preserve">Blue text = you type it. Black text = a formula; don't type over it. Yellow cells on Settings = set these before the test.</t>
  </si>
  <si>
    <t xml:space="preserve">Every data tab has formulas filled down 300 rows, so you only ever type in the blue columns.</t>
  </si>
  <si>
    <t xml:space="preserve">It's loaded with FAKE test data</t>
  </si>
  <si>
    <t xml:space="preserve">Every business, homeowner, quote and payment in here is made up (Test Pool Co, Test Homeowner, example.com). Use it for the dry run (docs/pilot/dry-run.md), then clear it:</t>
  </si>
  <si>
    <t xml:space="preserve">To clear: on Businesses, Requests, Quotes, Picks, Nudges and Posts, select the blue columns from row 2 down and press Delete. On Weekly, clear the blue minutes columns. Formulas stay.</t>
  </si>
  <si>
    <t xml:space="preserve">Tabs</t>
  </si>
  <si>
    <t xml:space="preserve">Settings: test start date, your one or two pushed trades, the week the paid weeks start.</t>
  </si>
  <si>
    <t xml:space="preserve">Rules: the test's definitions, fixed before it starts (playbook section 3).</t>
  </si>
  <si>
    <t xml:space="preserve">Businesses: one row per business that signs up. Copy from the sign-up form's responses.</t>
  </si>
  <si>
    <t xml:space="preserve">Requests: one row per homeowner request. Copy from the request form's responses, then set the source class and routable.</t>
  </si>
  <si>
    <t xml:space="preserve">Quotes: one row per quote a business emails back.</t>
  </si>
  <si>
    <t xml:space="preserve">Picks: one row per pick; the fee and whether it's a paid week fill in by themselves.</t>
  </si>
  <si>
    <t xml:space="preserve">Nudges: every time you help beyond the standard emails (reminder, visit, personal message).</t>
  </si>
  <si>
    <t xml:space="preserve">Posts: every Facebook or Nextdoor post, with its tracking code.</t>
  </si>
  <si>
    <t xml:space="preserve">Weekly: your minutes each week; the rest fills in.</t>
  </si>
  <si>
    <t xml:space="preserve">Scorecard: the playbook's section 10 scorecard, computed. Each line shows Go, Change or Stop.</t>
  </si>
  <si>
    <t xml:space="preserve">Privacy</t>
  </si>
  <si>
    <t xml:space="preserve">This sheet holds homeowners' first names, addresses and emails once the real test starts. Share it with nobody. Never paste rows into an AI tool. Delete those columns 90 days after the test ends.</t>
  </si>
  <si>
    <t xml:space="preserve">Setting</t>
  </si>
  <si>
    <t xml:space="preserve">Value</t>
  </si>
  <si>
    <t xml:space="preserve">Test start date (Monday of week 1)</t>
  </si>
  <si>
    <t xml:space="preserve">Pushed trade 1 (category id from the trade list)</t>
  </si>
  <si>
    <t xml:space="preserve">pool_cleaning</t>
  </si>
  <si>
    <t xml:space="preserve">Pushed trade 2 (leave blank if only one)</t>
  </si>
  <si>
    <t xml:space="preserve">handyman</t>
  </si>
  <si>
    <t xml:space="preserve">First paid week</t>
  </si>
  <si>
    <t xml:space="preserve">The pushed trades are set at the start of week 1 and kept for the whole test (playbook section 7). The sample values are placeholders until Grok's trade research is in.</t>
  </si>
  <si>
    <t xml:space="preserve">Term</t>
  </si>
  <si>
    <t xml:space="preserve">Meaning (fixed before the test starts; playbook section 3)</t>
  </si>
  <si>
    <t xml:space="preserve">Request</t>
  </si>
  <si>
    <t xml:space="preserve">One real job, from one household, in Lake Havasu City. A second job from the same household counts separately; the same job sent twice counts once. Tests, jokes and out-of-town jobs don't count.</t>
  </si>
  <si>
    <t xml:space="preserve">Source class</t>
  </si>
  <si>
    <t xml:space="preserve">Seeded (someone you asked, or who knows you), Partner (a property manager, rental host or realtor you lined up), or Organic (found Ask Hava on their own). When unsure, it's Seeded.</t>
  </si>
  <si>
    <t xml:space="preserve">Routable</t>
  </si>
  <si>
    <t xml:space="preserve">In a trade with at least one active business whose license covers the job.</t>
  </si>
  <si>
    <t xml:space="preserve">Pushed trade</t>
  </si>
  <si>
    <t xml:space="preserve">One of the one or two trades on Settings, fixed at the start of week 1.</t>
  </si>
  <si>
    <t xml:space="preserve">Valid quote</t>
  </si>
  <si>
    <t xml:space="preserve">A price (fixed, range, or visit fee) and when they could do it, received within 24 hours of the card being sent.</t>
  </si>
  <si>
    <t xml:space="preserve">Quote clock</t>
  </si>
  <si>
    <t xml:space="preserve">Starts when you send the card email; ends 24 hours later.</t>
  </si>
  <si>
    <t xml:space="preserve">Active business</t>
  </si>
  <si>
    <t xml:space="preserve">Has sent at least one quote. A sign-up alone doesn't count.</t>
  </si>
  <si>
    <t xml:space="preserve">No pick</t>
  </si>
  <si>
    <t xml:space="preserve">No pick 3 days after the last quote window ends. Ask her once why, then close it.</t>
  </si>
  <si>
    <t xml:space="preserve">Nudge</t>
  </si>
  <si>
    <t xml:space="preserve">Anything beyond the standard emails: a reminder, a personal message, a visit. Log every one on Nudges.</t>
  </si>
  <si>
    <t xml:space="preserve">Season</t>
  </si>
  <si>
    <t xml:space="preserve">Every weekly row carries its dates. Report the result as a winter test.</t>
  </si>
  <si>
    <t xml:space="preserve">Changes</t>
  </si>
  <si>
    <t xml:space="preserve">If something comes up these rules don't cover: decide it, write it below with the date, apply it to every later case.</t>
  </si>
  <si>
    <t xml:space="preserve">Business ID</t>
  </si>
  <si>
    <t xml:space="preserve">Business name</t>
  </si>
  <si>
    <t xml:space="preserve">Email</t>
  </si>
  <si>
    <t xml:space="preserve">Main trade (category id)</t>
  </si>
  <si>
    <t xml:space="preserve">Other trades</t>
  </si>
  <si>
    <t xml:space="preserve">License (ROC class, or none)</t>
  </si>
  <si>
    <t xml:space="preserve">ROC checked active (Y/N)</t>
  </si>
  <si>
    <t xml:space="preserve">Sign-up date</t>
  </si>
  <si>
    <t xml:space="preserve">How they heard</t>
  </si>
  <si>
    <t xml:space="preserve">Signed up on their own (Y/N)</t>
  </si>
  <si>
    <t xml:space="preserve">Quotes sent</t>
  </si>
  <si>
    <t xml:space="preserve">Active (has quoted)</t>
  </si>
  <si>
    <t xml:space="preserve">Wins</t>
  </si>
  <si>
    <t xml:space="preserve">Quotes per win</t>
  </si>
  <si>
    <t xml:space="preserve">Paid introductions</t>
  </si>
  <si>
    <t xml:space="preserve">FAKE TEST DATA in every row. Clear before the real test (Read me).</t>
  </si>
  <si>
    <t xml:space="preserve">B01</t>
  </si>
  <si>
    <t xml:space="preserve">Test Pool Co A</t>
  </si>
  <si>
    <t xml:space="preserve">b01@example.com</t>
  </si>
  <si>
    <t xml:space="preserve">none</t>
  </si>
  <si>
    <t xml:space="preserve">N/A</t>
  </si>
  <si>
    <t xml:space="preserve">Facebook group: oo</t>
  </si>
  <si>
    <t xml:space="preserve">Y</t>
  </si>
  <si>
    <t xml:space="preserve">B02</t>
  </si>
  <si>
    <t xml:space="preserve">Test Pool Co B</t>
  </si>
  <si>
    <t xml:space="preserve">b02@example.com</t>
  </si>
  <si>
    <t xml:space="preserve">pool_repair</t>
  </si>
  <si>
    <t xml:space="preserve">KA-6</t>
  </si>
  <si>
    <t xml:space="preserve">Facebook group: cp</t>
  </si>
  <si>
    <t xml:space="preserve">B03</t>
  </si>
  <si>
    <t xml:space="preserve">Test Pool Co C</t>
  </si>
  <si>
    <t xml:space="preserve">b03@example.com</t>
  </si>
  <si>
    <t xml:space="preserve">Another business</t>
  </si>
  <si>
    <t xml:space="preserve">B04</t>
  </si>
  <si>
    <t xml:space="preserve">Test Pool Co D</t>
  </si>
  <si>
    <t xml:space="preserve">b04@example.com</t>
  </si>
  <si>
    <t xml:space="preserve">Met Casey</t>
  </si>
  <si>
    <t xml:space="preserve">N</t>
  </si>
  <si>
    <t xml:space="preserve">B05</t>
  </si>
  <si>
    <t xml:space="preserve">Test Pool Co E</t>
  </si>
  <si>
    <t xml:space="preserve">b05@example.com</t>
  </si>
  <si>
    <t xml:space="preserve">B06</t>
  </si>
  <si>
    <t xml:space="preserve">Test Handyman A</t>
  </si>
  <si>
    <t xml:space="preserve">b06@example.com</t>
  </si>
  <si>
    <t xml:space="preserve">B07</t>
  </si>
  <si>
    <t xml:space="preserve">Test Handyman B</t>
  </si>
  <si>
    <t xml:space="preserve">b07@example.com</t>
  </si>
  <si>
    <t xml:space="preserve">painting</t>
  </si>
  <si>
    <t xml:space="preserve">B08</t>
  </si>
  <si>
    <t xml:space="preserve">Test Handyman C</t>
  </si>
  <si>
    <t xml:space="preserve">b08@example.com</t>
  </si>
  <si>
    <t xml:space="preserve">B09</t>
  </si>
  <si>
    <t xml:space="preserve">Test Handyman D</t>
  </si>
  <si>
    <t xml:space="preserve">b09@example.com</t>
  </si>
  <si>
    <t xml:space="preserve">B10</t>
  </si>
  <si>
    <t xml:space="preserve">Test Handyman E</t>
  </si>
  <si>
    <t xml:space="preserve">b10@example.com</t>
  </si>
  <si>
    <t xml:space="preserve">Friend</t>
  </si>
  <si>
    <t xml:space="preserve">B11</t>
  </si>
  <si>
    <t xml:space="preserve">Test HVAC Co</t>
  </si>
  <si>
    <t xml:space="preserve">b11@example.com</t>
  </si>
  <si>
    <t xml:space="preserve">hvac_repair</t>
  </si>
  <si>
    <t xml:space="preserve">R-39</t>
  </si>
  <si>
    <t xml:space="preserve">B12</t>
  </si>
  <si>
    <t xml:space="preserve">Test Cleaning Co</t>
  </si>
  <si>
    <t xml:space="preserve">b12@example.com</t>
  </si>
  <si>
    <t xml:space="preserve">house_cleaning</t>
  </si>
  <si>
    <t xml:space="preserve">B13</t>
  </si>
  <si>
    <t xml:space="preserve">Test Handyman F</t>
  </si>
  <si>
    <t xml:space="preserve">b13@example.com</t>
  </si>
  <si>
    <t xml:space="preserve">Request ID</t>
  </si>
  <si>
    <t xml:space="preserve">Received</t>
  </si>
  <si>
    <t xml:space="preserve">Week</t>
  </si>
  <si>
    <t xml:space="preserve">Trade (category id)</t>
  </si>
  <si>
    <t xml:space="preserve">Routable (Y/N)</t>
  </si>
  <si>
    <t xml:space="preserve">First name</t>
  </si>
  <si>
    <t xml:space="preserve">Job address</t>
  </si>
  <si>
    <t xml:space="preserve">Card sent</t>
  </si>
  <si>
    <t xml:space="preserve">Card corrected by homeowner (Y/N)</t>
  </si>
  <si>
    <t xml:space="preserve">Valid quotes in 24h</t>
  </si>
  <si>
    <t xml:space="preserve">Hours to first valid quote</t>
  </si>
  <si>
    <t xml:space="preserve">Pushed and routable</t>
  </si>
  <si>
    <t xml:space="preserve">First-quote hours (pushed and routable)</t>
  </si>
  <si>
    <t xml:space="preserve">Picked</t>
  </si>
  <si>
    <t xml:space="preserve">Your minutes on this request</t>
  </si>
  <si>
    <t xml:space="preserve">No-pick reason</t>
  </si>
  <si>
    <t xml:space="preserve">Nudged</t>
  </si>
  <si>
    <t xml:space="preserve">R001</t>
  </si>
  <si>
    <t xml:space="preserve">Partner</t>
  </si>
  <si>
    <t xml:space="preserve">Test Homeowner 01</t>
  </si>
  <si>
    <t xml:space="preserve">100 Test St, Lake Havasu City</t>
  </si>
  <si>
    <t xml:space="preserve">homeowner01@example.com</t>
  </si>
  <si>
    <t xml:space="preserve">No reply</t>
  </si>
  <si>
    <t xml:space="preserve">R002</t>
  </si>
  <si>
    <t xml:space="preserve">Seeded</t>
  </si>
  <si>
    <t xml:space="preserve">Test Homeowner 02</t>
  </si>
  <si>
    <t xml:space="preserve">101 Test St, Lake Havasu City</t>
  </si>
  <si>
    <t xml:space="preserve">homeowner02@example.com</t>
  </si>
  <si>
    <t xml:space="preserve">R003</t>
  </si>
  <si>
    <t xml:space="preserve">Test Homeowner 03</t>
  </si>
  <si>
    <t xml:space="preserve">102 Test St, Lake Havasu City</t>
  </si>
  <si>
    <t xml:space="preserve">homeowner03@example.com</t>
  </si>
  <si>
    <t xml:space="preserve">Prices too high</t>
  </si>
  <si>
    <t xml:space="preserve">R004</t>
  </si>
  <si>
    <t xml:space="preserve">Organic</t>
  </si>
  <si>
    <t xml:space="preserve">Test Homeowner 04</t>
  </si>
  <si>
    <t xml:space="preserve">103 Test St, Lake Havasu City</t>
  </si>
  <si>
    <t xml:space="preserve">homeowner04@example.com</t>
  </si>
  <si>
    <t xml:space="preserve">R005</t>
  </si>
  <si>
    <t xml:space="preserve">Test Homeowner 05</t>
  </si>
  <si>
    <t xml:space="preserve">104 Test St, Lake Havasu City</t>
  </si>
  <si>
    <t xml:space="preserve">homeowner05@example.com</t>
  </si>
  <si>
    <t xml:space="preserve">R006</t>
  </si>
  <si>
    <t xml:space="preserve">Test Homeowner 06</t>
  </si>
  <si>
    <t xml:space="preserve">105 Test St, Lake Havasu City</t>
  </si>
  <si>
    <t xml:space="preserve">homeowner06@example.com</t>
  </si>
  <si>
    <t xml:space="preserve">R007</t>
  </si>
  <si>
    <t xml:space="preserve">Test Homeowner 07</t>
  </si>
  <si>
    <t xml:space="preserve">106 Test St, Lake Havasu City</t>
  </si>
  <si>
    <t xml:space="preserve">homeowner07@example.com</t>
  </si>
  <si>
    <t xml:space="preserve">R008</t>
  </si>
  <si>
    <t xml:space="preserve">Test Homeowner 08</t>
  </si>
  <si>
    <t xml:space="preserve">107 Test St, Lake Havasu City</t>
  </si>
  <si>
    <t xml:space="preserve">homeowner08@example.com</t>
  </si>
  <si>
    <t xml:space="preserve">R009</t>
  </si>
  <si>
    <t xml:space="preserve">plumbing_repair</t>
  </si>
  <si>
    <t xml:space="preserve">Test Homeowner 09</t>
  </si>
  <si>
    <t xml:space="preserve">108 Test St, Lake Havasu City</t>
  </si>
  <si>
    <t xml:space="preserve">homeowner09@example.com</t>
  </si>
  <si>
    <t xml:space="preserve">Not covered (template A)</t>
  </si>
  <si>
    <t xml:space="preserve">R010</t>
  </si>
  <si>
    <t xml:space="preserve">Test Homeowner 10</t>
  </si>
  <si>
    <t xml:space="preserve">109 Test St, Lake Havasu City</t>
  </si>
  <si>
    <t xml:space="preserve">homeowner10@example.com</t>
  </si>
  <si>
    <t xml:space="preserve">R011</t>
  </si>
  <si>
    <t xml:space="preserve">Test Homeowner 11</t>
  </si>
  <si>
    <t xml:space="preserve">110 Test St, Lake Havasu City</t>
  </si>
  <si>
    <t xml:space="preserve">homeowner11@example.com</t>
  </si>
  <si>
    <t xml:space="preserve">R012</t>
  </si>
  <si>
    <t xml:space="preserve">Test Homeowner 12</t>
  </si>
  <si>
    <t xml:space="preserve">111 Test St, Lake Havasu City</t>
  </si>
  <si>
    <t xml:space="preserve">homeowner12@example.com</t>
  </si>
  <si>
    <t xml:space="preserve">R013</t>
  </si>
  <si>
    <t xml:space="preserve">Test Homeowner 13</t>
  </si>
  <si>
    <t xml:space="preserve">112 Test St, Lake Havasu City</t>
  </si>
  <si>
    <t xml:space="preserve">homeowner13@example.com</t>
  </si>
  <si>
    <t xml:space="preserve">R014</t>
  </si>
  <si>
    <t xml:space="preserve">Test Homeowner 14</t>
  </si>
  <si>
    <t xml:space="preserve">113 Test St, Lake Havasu City</t>
  </si>
  <si>
    <t xml:space="preserve">homeowner14@example.com</t>
  </si>
  <si>
    <t xml:space="preserve">R015</t>
  </si>
  <si>
    <t xml:space="preserve">Test Homeowner 15</t>
  </si>
  <si>
    <t xml:space="preserve">114 Test St, Lake Havasu City</t>
  </si>
  <si>
    <t xml:space="preserve">homeowner15@example.com</t>
  </si>
  <si>
    <t xml:space="preserve">R016</t>
  </si>
  <si>
    <t xml:space="preserve">Test Homeowner 16</t>
  </si>
  <si>
    <t xml:space="preserve">115 Test St, Lake Havasu City</t>
  </si>
  <si>
    <t xml:space="preserve">homeowner16@example.com</t>
  </si>
  <si>
    <t xml:space="preserve">Went with someone she already knew</t>
  </si>
  <si>
    <t xml:space="preserve">R017</t>
  </si>
  <si>
    <t xml:space="preserve">Test Homeowner 17</t>
  </si>
  <si>
    <t xml:space="preserve">116 Test St, Lake Havasu City</t>
  </si>
  <si>
    <t xml:space="preserve">homeowner17@example.com</t>
  </si>
  <si>
    <t xml:space="preserve">R018</t>
  </si>
  <si>
    <t xml:space="preserve">Test Homeowner 18</t>
  </si>
  <si>
    <t xml:space="preserve">117 Test St, Lake Havasu City</t>
  </si>
  <si>
    <t xml:space="preserve">homeowner18@example.com</t>
  </si>
  <si>
    <t xml:space="preserve">R019</t>
  </si>
  <si>
    <t xml:space="preserve">Test Homeowner 19</t>
  </si>
  <si>
    <t xml:space="preserve">118 Test St, Lake Havasu City</t>
  </si>
  <si>
    <t xml:space="preserve">homeowner19@example.com</t>
  </si>
  <si>
    <t xml:space="preserve">R020</t>
  </si>
  <si>
    <t xml:space="preserve">Test Homeowner 20</t>
  </si>
  <si>
    <t xml:space="preserve">119 Test St, Lake Havasu City</t>
  </si>
  <si>
    <t xml:space="preserve">homeowner20@example.com</t>
  </si>
  <si>
    <t xml:space="preserve">R021</t>
  </si>
  <si>
    <t xml:space="preserve">Test Homeowner 21</t>
  </si>
  <si>
    <t xml:space="preserve">120 Test St, Lake Havasu City</t>
  </si>
  <si>
    <t xml:space="preserve">homeowner21@example.com</t>
  </si>
  <si>
    <t xml:space="preserve">R022</t>
  </si>
  <si>
    <t xml:space="preserve">Test Homeowner 22</t>
  </si>
  <si>
    <t xml:space="preserve">121 Test St, Lake Havasu City</t>
  </si>
  <si>
    <t xml:space="preserve">homeowner22@example.com</t>
  </si>
  <si>
    <t xml:space="preserve">R023</t>
  </si>
  <si>
    <t xml:space="preserve">Test Homeowner 23</t>
  </si>
  <si>
    <t xml:space="preserve">122 Test St, Lake Havasu City</t>
  </si>
  <si>
    <t xml:space="preserve">homeowner23@example.com</t>
  </si>
  <si>
    <t xml:space="preserve">R024</t>
  </si>
  <si>
    <t xml:space="preserve">Test Homeowner 24</t>
  </si>
  <si>
    <t xml:space="preserve">123 Test St, Lake Havasu City</t>
  </si>
  <si>
    <t xml:space="preserve">homeowner24@example.com</t>
  </si>
  <si>
    <t xml:space="preserve">R025</t>
  </si>
  <si>
    <t xml:space="preserve">Test Homeowner 25</t>
  </si>
  <si>
    <t xml:space="preserve">124 Test St, Lake Havasu City</t>
  </si>
  <si>
    <t xml:space="preserve">homeowner25@example.com</t>
  </si>
  <si>
    <t xml:space="preserve">R026</t>
  </si>
  <si>
    <t xml:space="preserve">Test Homeowner 26</t>
  </si>
  <si>
    <t xml:space="preserve">125 Test St, Lake Havasu City</t>
  </si>
  <si>
    <t xml:space="preserve">homeowner26@example.com</t>
  </si>
  <si>
    <t xml:space="preserve">R027</t>
  </si>
  <si>
    <t xml:space="preserve">Test Homeowner 27</t>
  </si>
  <si>
    <t xml:space="preserve">126 Test St, Lake Havasu City</t>
  </si>
  <si>
    <t xml:space="preserve">homeowner27@example.com</t>
  </si>
  <si>
    <t xml:space="preserve">R028</t>
  </si>
  <si>
    <t xml:space="preserve">Test Homeowner 28</t>
  </si>
  <si>
    <t xml:space="preserve">127 Test St, Lake Havasu City</t>
  </si>
  <si>
    <t xml:space="preserve">homeowner28@example.com</t>
  </si>
  <si>
    <t xml:space="preserve">R029</t>
  </si>
  <si>
    <t xml:space="preserve">Test Homeowner 29</t>
  </si>
  <si>
    <t xml:space="preserve">128 Test St, Lake Havasu City</t>
  </si>
  <si>
    <t xml:space="preserve">homeowner29@example.com</t>
  </si>
  <si>
    <t xml:space="preserve">R030</t>
  </si>
  <si>
    <t xml:space="preserve">Test Homeowner 30</t>
  </si>
  <si>
    <t xml:space="preserve">129 Test St, Lake Havasu City</t>
  </si>
  <si>
    <t xml:space="preserve">homeowner30@example.com</t>
  </si>
  <si>
    <t xml:space="preserve">R031</t>
  </si>
  <si>
    <t xml:space="preserve">Test Homeowner 31</t>
  </si>
  <si>
    <t xml:space="preserve">130 Test St, Lake Havasu City</t>
  </si>
  <si>
    <t xml:space="preserve">homeowner31@example.com</t>
  </si>
  <si>
    <t xml:space="preserve">R032</t>
  </si>
  <si>
    <t xml:space="preserve">Test Homeowner 32</t>
  </si>
  <si>
    <t xml:space="preserve">131 Test St, Lake Havasu City</t>
  </si>
  <si>
    <t xml:space="preserve">homeowner32@example.com</t>
  </si>
  <si>
    <t xml:space="preserve">Quote ID</t>
  </si>
  <si>
    <t xml:space="preserve">Price ($; range midpoint; ongoing = 4 months)</t>
  </si>
  <si>
    <t xml:space="preserve">Hours after card</t>
  </si>
  <si>
    <t xml:space="preserve">Valid in 24h (Y/N)</t>
  </si>
  <si>
    <t xml:space="preserve">Quote type</t>
  </si>
  <si>
    <t xml:space="preserve">Q001</t>
  </si>
  <si>
    <t xml:space="preserve">visit fee</t>
  </si>
  <si>
    <t xml:space="preserve">Q002</t>
  </si>
  <si>
    <t xml:space="preserve">Q003</t>
  </si>
  <si>
    <t xml:space="preserve">monthly x4</t>
  </si>
  <si>
    <t xml:space="preserve">Q004</t>
  </si>
  <si>
    <t xml:space="preserve">fixed</t>
  </si>
  <si>
    <t xml:space="preserve">Q005</t>
  </si>
  <si>
    <t xml:space="preserve">Q006</t>
  </si>
  <si>
    <t xml:space="preserve">Q007</t>
  </si>
  <si>
    <t xml:space="preserve">Q008</t>
  </si>
  <si>
    <t xml:space="preserve">Q009</t>
  </si>
  <si>
    <t xml:space="preserve">Q010</t>
  </si>
  <si>
    <t xml:space="preserve">Q011</t>
  </si>
  <si>
    <t xml:space="preserve">range</t>
  </si>
  <si>
    <t xml:space="preserve">Q012</t>
  </si>
  <si>
    <t xml:space="preserve">Q013</t>
  </si>
  <si>
    <t xml:space="preserve">Q014</t>
  </si>
  <si>
    <t xml:space="preserve">Q015</t>
  </si>
  <si>
    <t xml:space="preserve">Q016</t>
  </si>
  <si>
    <t xml:space="preserve">Q017</t>
  </si>
  <si>
    <t xml:space="preserve">Q018</t>
  </si>
  <si>
    <t xml:space="preserve">Q019</t>
  </si>
  <si>
    <t xml:space="preserve">Q020</t>
  </si>
  <si>
    <t xml:space="preserve">Q021</t>
  </si>
  <si>
    <t xml:space="preserve">Q022</t>
  </si>
  <si>
    <t xml:space="preserve">Q023</t>
  </si>
  <si>
    <t xml:space="preserve">Q024</t>
  </si>
  <si>
    <t xml:space="preserve">Q025</t>
  </si>
  <si>
    <t xml:space="preserve">Q026</t>
  </si>
  <si>
    <t xml:space="preserve">Q027</t>
  </si>
  <si>
    <t xml:space="preserve">Q028</t>
  </si>
  <si>
    <t xml:space="preserve">Q029</t>
  </si>
  <si>
    <t xml:space="preserve">Q030</t>
  </si>
  <si>
    <t xml:space="preserve">Q031</t>
  </si>
  <si>
    <t xml:space="preserve">Q032</t>
  </si>
  <si>
    <t xml:space="preserve">Q033</t>
  </si>
  <si>
    <t xml:space="preserve">Q034</t>
  </si>
  <si>
    <t xml:space="preserve">Q035</t>
  </si>
  <si>
    <t xml:space="preserve">Q036</t>
  </si>
  <si>
    <t xml:space="preserve">Q037</t>
  </si>
  <si>
    <t xml:space="preserve">Q038</t>
  </si>
  <si>
    <t xml:space="preserve">Q039</t>
  </si>
  <si>
    <t xml:space="preserve">Q040</t>
  </si>
  <si>
    <t xml:space="preserve">Q041</t>
  </si>
  <si>
    <t xml:space="preserve">Q042</t>
  </si>
  <si>
    <t xml:space="preserve">Q043</t>
  </si>
  <si>
    <t xml:space="preserve">Q044</t>
  </si>
  <si>
    <t xml:space="preserve">Q045</t>
  </si>
  <si>
    <t xml:space="preserve">Q046</t>
  </si>
  <si>
    <t xml:space="preserve">Picked on</t>
  </si>
  <si>
    <t xml:space="preserve">Quote price ($)</t>
  </si>
  <si>
    <t xml:space="preserve">Introduction fee ($)</t>
  </si>
  <si>
    <t xml:space="preserve">Paid week</t>
  </si>
  <si>
    <t xml:space="preserve">Paid? (Y / Refused / blank)</t>
  </si>
  <si>
    <t xml:space="preserve">Refunded (Y/N)</t>
  </si>
  <si>
    <t xml:space="preserve">First payment from this business</t>
  </si>
  <si>
    <t xml:space="preserve">Refused</t>
  </si>
  <si>
    <t xml:space="preserve">Date</t>
  </si>
  <si>
    <t xml:space="preserve">Request or business ID</t>
  </si>
  <si>
    <t xml:space="preserve">What you did</t>
  </si>
  <si>
    <t xml:space="preserve">Reminded a business to quote</t>
  </si>
  <si>
    <t xml:space="preserve">Group or site</t>
  </si>
  <si>
    <t xml:space="preserve">Tracking code</t>
  </si>
  <si>
    <t xml:space="preserve">Post type</t>
  </si>
  <si>
    <t xml:space="preserve">Notes</t>
  </si>
  <si>
    <t xml:space="preserve">Havasu Orchids &amp; Onions</t>
  </si>
  <si>
    <t xml:space="preserve">oo</t>
  </si>
  <si>
    <t xml:space="preserve">Intro (business)</t>
  </si>
  <si>
    <t xml:space="preserve">FAKE test row</t>
  </si>
  <si>
    <t xml:space="preserve">Lake Havasu City Community Page</t>
  </si>
  <si>
    <t xml:space="preserve">cp</t>
  </si>
  <si>
    <t xml:space="preserve">Homeowner tip</t>
  </si>
  <si>
    <t xml:space="preserve">Real requests</t>
  </si>
  <si>
    <t xml:space="preserve">Starts</t>
  </si>
  <si>
    <t xml:space="preserve">Ends</t>
  </si>
  <si>
    <t xml:space="preserve">Recruiting minutes</t>
  </si>
  <si>
    <t xml:space="preserve">Running-jobs minutes</t>
  </si>
  <si>
    <t xml:space="preserve">Hours this week</t>
  </si>
  <si>
    <t xml:space="preserve">Requests</t>
  </si>
  <si>
    <t xml:space="preserve">Organic requests</t>
  </si>
  <si>
    <t xml:space="preserve">Nudges</t>
  </si>
  <si>
    <t xml:space="preserve">Business sign-ups</t>
  </si>
  <si>
    <t xml:space="preserve">Weeks 7 and 8 are there if you extend the test. Season: this is a winter test (Rules tab).</t>
  </si>
  <si>
    <t xml:space="preserve">Measure</t>
  </si>
  <si>
    <t xml:space="preserve">Go if</t>
  </si>
  <si>
    <t xml:space="preserve">Go line</t>
  </si>
  <si>
    <t xml:space="preserve">Stop line</t>
  </si>
  <si>
    <t xml:space="preserve">Status</t>
  </si>
  <si>
    <t xml:space="preserve">Organic requests (all trades)</t>
  </si>
  <si>
    <t xml:space="preserve">higher</t>
  </si>
  <si>
    <t xml:space="preserve">Playbook: 20 or more over the test.</t>
  </si>
  <si>
    <t xml:space="preserve">Lowest weekly Organic requests, weeks 4 to 6</t>
  </si>
  <si>
    <t xml:space="preserve">Go: 4 or more in each of weeks 4 to 6. The stop line here is a judgment call (inferred).</t>
  </si>
  <si>
    <t xml:space="preserve">Share of requests not Seeded</t>
  </si>
  <si>
    <t xml:space="preserve">Pushed, routable requests with 1+ valid quote in 24h</t>
  </si>
  <si>
    <t xml:space="preserve">Pushed, routable requests with 2+ valid quotes in 24h</t>
  </si>
  <si>
    <t xml:space="preserve">The real test of choice.</t>
  </si>
  <si>
    <t xml:space="preserve">Median hours to first valid quote (pushed)</t>
  </si>
  <si>
    <t xml:space="preserve">lower</t>
  </si>
  <si>
    <t xml:space="preserve">75th-percentile hours to first valid quote (pushed)</t>
  </si>
  <si>
    <t xml:space="preserve">The slow tail.</t>
  </si>
  <si>
    <t xml:space="preserve">Picks, among requests with 2+ quotes</t>
  </si>
  <si>
    <t xml:space="preserve">Active businesses in the thinner pushed trade</t>
  </si>
  <si>
    <t xml:space="preserve">Counts businesses by main trade.</t>
  </si>
  <si>
    <t xml:space="preserve">Self-serve sign-ups</t>
  </si>
  <si>
    <t xml:space="preserve">Stop line is a judgment call (inferred).</t>
  </si>
  <si>
    <t xml:space="preserve">Share of self-serve sign-ups that quoted</t>
  </si>
  <si>
    <t xml:space="preserve">Different businesses that paid the real fee</t>
  </si>
  <si>
    <t xml:space="preserve">Gate P needs this green.</t>
  </si>
  <si>
    <t xml:space="preserve">Refusals at the real fee</t>
  </si>
  <si>
    <t xml:space="preserve">Repeated refusals mean stop and rethink; 3 is a judgment call (inferred).</t>
  </si>
  <si>
    <t xml:space="preserve">Quote rate, hands-off weeks vs helped weeks</t>
  </si>
  <si>
    <t xml:space="preserve">1.00 means the same rate. Under 0.6 means quotes collapse without your nudges (inferred line).</t>
  </si>
  <si>
    <t xml:space="preserve">Average minutes per request, weeks 4 to 6</t>
  </si>
  <si>
    <t xml:space="preserve">Average hours per week, weeks 4 to 6</t>
  </si>
  <si>
    <t xml:space="preserve">Go lines and stop lines are from the playbook, section 10 (blue: you can change them). Higher-is-better lines stop below the stop line; lower-is-better lines stop above it.</t>
  </si>
  <si>
    <t xml:space="preserve">Go: most lines Go, none Stop, and 'Different businesses that paid the real fee' is Go. The scorecard decides nothing on its own; you decide.</t>
  </si>
  <si>
    <t xml:space="preserve">Report it as a winter test, for the pushed trades only.</t>
  </si>
</sst>
</file>

<file path=xl/styles.xml><?xml version="1.0" encoding="utf-8"?>
<styleSheet xmlns="http://schemas.openxmlformats.org/spreadsheetml/2006/main">
  <numFmts count="9">
    <numFmt numFmtId="164" formatCode="General"/>
    <numFmt numFmtId="165" formatCode="yyyy\-mm\-dd"/>
    <numFmt numFmtId="166" formatCode="General"/>
    <numFmt numFmtId="167" formatCode="0.0"/>
    <numFmt numFmtId="168" formatCode="yyyy\-mm\-dd\ hh:mm"/>
    <numFmt numFmtId="169" formatCode="\$#,##0"/>
    <numFmt numFmtId="170" formatCode="0"/>
    <numFmt numFmtId="171" formatCode="0%"/>
    <numFmt numFmtId="172" formatCode="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sz val="11"/>
      <color rgb="FF0000FF"/>
      <name val="Arial"/>
      <family val="0"/>
      <charset val="1"/>
    </font>
    <font>
      <sz val="11"/>
      <color theme="1"/>
      <name val="Arial"/>
      <family val="0"/>
      <charset val="1"/>
    </font>
    <font>
      <i val="true"/>
      <sz val="11"/>
      <color rgb="FF555555"/>
      <name val="Arial"/>
      <family val="0"/>
      <charset val="1"/>
    </font>
    <font>
      <sz val="11"/>
      <color rgb="FF000000"/>
      <name val="Arial"/>
      <family val="0"/>
      <charset val="1"/>
    </font>
    <font>
      <sz val="10"/>
      <name val="Arial"/>
      <family val="2"/>
    </font>
  </fonts>
  <fills count="4">
    <fill>
      <patternFill patternType="none"/>
    </fill>
    <fill>
      <patternFill patternType="gray125"/>
    </fill>
    <fill>
      <patternFill patternType="solid">
        <fgColor rgb="FF2E2A27"/>
        <bgColor rgb="FF33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E2A2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26.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26.85" hidden="false" customHeight="false" outlineLevel="0" collapsed="false">
      <c r="A9" s="2" t="s">
        <v>6</v>
      </c>
    </row>
    <row r="10" customFormat="false" ht="26.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row>
    <row r="24" customFormat="false" ht="15" hidden="false" customHeight="false" outlineLevel="0" collapsed="false">
      <c r="A24" s="3" t="s">
        <v>19</v>
      </c>
    </row>
    <row r="25" customFormat="false" ht="26.85" hidden="false" customHeight="false" outlineLevel="0" collapsed="false">
      <c r="A25"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s>
  <sheetData>
    <row r="1" customFormat="false" ht="15" hidden="false" customHeight="false" outlineLevel="0" collapsed="false">
      <c r="A1" s="4" t="s">
        <v>21</v>
      </c>
      <c r="B1" s="4" t="s">
        <v>22</v>
      </c>
    </row>
    <row r="2" customFormat="false" ht="15" hidden="false" customHeight="false" outlineLevel="0" collapsed="false">
      <c r="A2" s="5" t="s">
        <v>23</v>
      </c>
      <c r="B2" s="6" t="n">
        <v>46328</v>
      </c>
    </row>
    <row r="3" customFormat="false" ht="15" hidden="false" customHeight="false" outlineLevel="0" collapsed="false">
      <c r="A3" s="5" t="s">
        <v>24</v>
      </c>
      <c r="B3" s="7" t="s">
        <v>25</v>
      </c>
    </row>
    <row r="4" customFormat="false" ht="15" hidden="false" customHeight="false" outlineLevel="0" collapsed="false">
      <c r="A4" s="5" t="s">
        <v>26</v>
      </c>
      <c r="B4" s="7" t="s">
        <v>27</v>
      </c>
    </row>
    <row r="5" customFormat="false" ht="15" hidden="false" customHeight="false" outlineLevel="0" collapsed="false">
      <c r="A5" s="5" t="s">
        <v>28</v>
      </c>
      <c r="B5" s="7" t="n">
        <v>4</v>
      </c>
    </row>
    <row r="6" customFormat="false" ht="15" hidden="false" customHeight="false" outlineLevel="0" collapsed="false">
      <c r="A6" s="8"/>
      <c r="B6" s="8"/>
    </row>
    <row r="7" customFormat="false" ht="15" hidden="false" customHeight="false" outlineLevel="0" collapsed="false">
      <c r="A7" s="9" t="s">
        <v>29</v>
      </c>
      <c r="B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5" hidden="false" customHeight="false" outlineLevel="0" collapsed="false">
      <c r="A1" s="4" t="s">
        <v>30</v>
      </c>
      <c r="B1" s="10" t="s">
        <v>31</v>
      </c>
    </row>
    <row r="2" customFormat="false" ht="26.85" hidden="false" customHeight="false" outlineLevel="0" collapsed="false">
      <c r="A2" s="11" t="s">
        <v>32</v>
      </c>
      <c r="B2" s="12" t="s">
        <v>33</v>
      </c>
    </row>
    <row r="3" customFormat="false" ht="26.85" hidden="false" customHeight="false" outlineLevel="0" collapsed="false">
      <c r="A3" s="11" t="s">
        <v>34</v>
      </c>
      <c r="B3" s="12" t="s">
        <v>35</v>
      </c>
    </row>
    <row r="4" customFormat="false" ht="15" hidden="false" customHeight="false" outlineLevel="0" collapsed="false">
      <c r="A4" s="11" t="s">
        <v>36</v>
      </c>
      <c r="B4" s="12" t="s">
        <v>37</v>
      </c>
    </row>
    <row r="5" customFormat="false" ht="15" hidden="false" customHeight="false" outlineLevel="0" collapsed="false">
      <c r="A5" s="11" t="s">
        <v>38</v>
      </c>
      <c r="B5" s="12" t="s">
        <v>39</v>
      </c>
    </row>
    <row r="6" customFormat="false" ht="15" hidden="false" customHeight="false" outlineLevel="0" collapsed="false">
      <c r="A6" s="11" t="s">
        <v>40</v>
      </c>
      <c r="B6" s="12" t="s">
        <v>41</v>
      </c>
    </row>
    <row r="7" customFormat="false" ht="15" hidden="false" customHeight="false" outlineLevel="0" collapsed="false">
      <c r="A7" s="11" t="s">
        <v>42</v>
      </c>
      <c r="B7" s="12" t="s">
        <v>43</v>
      </c>
    </row>
    <row r="8" customFormat="false" ht="15" hidden="false" customHeight="false" outlineLevel="0" collapsed="false">
      <c r="A8" s="11" t="s">
        <v>44</v>
      </c>
      <c r="B8" s="12" t="s">
        <v>45</v>
      </c>
    </row>
    <row r="9" customFormat="false" ht="15" hidden="false" customHeight="false" outlineLevel="0" collapsed="false">
      <c r="A9" s="11" t="s">
        <v>46</v>
      </c>
      <c r="B9" s="12" t="s">
        <v>47</v>
      </c>
    </row>
    <row r="10" customFormat="false" ht="15" hidden="false" customHeight="false" outlineLevel="0" collapsed="false">
      <c r="A10" s="11" t="s">
        <v>48</v>
      </c>
      <c r="B10" s="12" t="s">
        <v>49</v>
      </c>
    </row>
    <row r="11" customFormat="false" ht="15" hidden="false" customHeight="false" outlineLevel="0" collapsed="false">
      <c r="A11" s="11" t="s">
        <v>50</v>
      </c>
      <c r="B11" s="12" t="s">
        <v>51</v>
      </c>
    </row>
    <row r="12" customFormat="false" ht="15" hidden="false" customHeight="false" outlineLevel="0" collapsed="false">
      <c r="A12" s="11" t="s">
        <v>52</v>
      </c>
      <c r="B12" s="12"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34"/>
    <col collapsed="false" customWidth="true" hidden="false" outlineLevel="0" max="5" min="4" style="0" width="18"/>
    <col collapsed="false" customWidth="true" hidden="false" outlineLevel="0" max="6" min="6" style="0" width="30"/>
    <col collapsed="false" customWidth="true" hidden="false" outlineLevel="0" max="7" min="7" style="0" width="26"/>
    <col collapsed="false" customWidth="true" hidden="false" outlineLevel="0" max="8" min="8" style="0" width="14"/>
    <col collapsed="false" customWidth="true" hidden="false" outlineLevel="0" max="9" min="9" style="0" width="20"/>
    <col collapsed="false" customWidth="true" hidden="false" outlineLevel="0" max="10" min="10" style="0" width="30"/>
    <col collapsed="false" customWidth="true" hidden="false" outlineLevel="0" max="11" min="11" style="0" width="13"/>
    <col collapsed="false" customWidth="true" hidden="false" outlineLevel="0" max="12" min="12" style="0" width="21"/>
    <col collapsed="false" customWidth="true" hidden="false" outlineLevel="0" max="13" min="13" style="0" width="12"/>
    <col collapsed="false" customWidth="true" hidden="false" outlineLevel="0" max="14" min="14" style="0" width="16"/>
    <col collapsed="false" customWidth="true" hidden="false" outlineLevel="0" max="15" min="15" style="0" width="20"/>
  </cols>
  <sheetData>
    <row r="1" customFormat="false" ht="31.5" hidden="false" customHeight="true" outlineLevel="0" collapsed="false">
      <c r="A1" s="10" t="s">
        <v>54</v>
      </c>
      <c r="B1" s="10" t="s">
        <v>55</v>
      </c>
      <c r="C1" s="10" t="s">
        <v>56</v>
      </c>
      <c r="D1" s="10" t="s">
        <v>57</v>
      </c>
      <c r="E1" s="10" t="s">
        <v>58</v>
      </c>
      <c r="F1" s="10" t="s">
        <v>59</v>
      </c>
      <c r="G1" s="10" t="s">
        <v>60</v>
      </c>
      <c r="H1" s="10" t="s">
        <v>61</v>
      </c>
      <c r="I1" s="10" t="s">
        <v>62</v>
      </c>
      <c r="J1" s="10" t="s">
        <v>63</v>
      </c>
      <c r="K1" s="10" t="s">
        <v>64</v>
      </c>
      <c r="L1" s="10" t="s">
        <v>65</v>
      </c>
      <c r="M1" s="10" t="s">
        <v>66</v>
      </c>
      <c r="N1" s="10" t="s">
        <v>67</v>
      </c>
      <c r="O1" s="10" t="s">
        <v>68</v>
      </c>
      <c r="P1" s="8"/>
      <c r="Q1" s="8" t="s">
        <v>69</v>
      </c>
    </row>
    <row r="2" customFormat="false" ht="15" hidden="false" customHeight="false" outlineLevel="0" collapsed="false">
      <c r="A2" s="13" t="s">
        <v>70</v>
      </c>
      <c r="B2" s="13" t="s">
        <v>71</v>
      </c>
      <c r="C2" s="13" t="s">
        <v>72</v>
      </c>
      <c r="D2" s="13" t="s">
        <v>25</v>
      </c>
      <c r="E2" s="13"/>
      <c r="F2" s="13" t="s">
        <v>73</v>
      </c>
      <c r="G2" s="13" t="s">
        <v>74</v>
      </c>
      <c r="H2" s="14" t="n">
        <v>46338</v>
      </c>
      <c r="I2" s="13" t="s">
        <v>75</v>
      </c>
      <c r="J2" s="13" t="s">
        <v>76</v>
      </c>
      <c r="K2" s="15" t="n">
        <f aca="false">IF(A2="","",COUNTIF(Quotes!$C$2:$C$301,A2))</f>
        <v>2</v>
      </c>
      <c r="L2" s="16" t="b">
        <f aca="false">IF(A2="","",K2&gt;0)</f>
        <v>1</v>
      </c>
      <c r="M2" s="15" t="n">
        <f aca="false">IF(A2="","",COUNTIF(Picks!$C$2:$C$301,A2))</f>
        <v>0</v>
      </c>
      <c r="N2" s="17" t="str">
        <f aca="false">IF(A2="","",IF(M2=0,"no wins",K2/M2))</f>
        <v>no wins</v>
      </c>
      <c r="O2" s="15" t="n">
        <f aca="false">IF(A2="","",COUNTIFS(Picks!$C$2:$C$301,A2,Picks!$H$2:$H$301,"Y"))</f>
        <v>0</v>
      </c>
      <c r="P2" s="8"/>
      <c r="Q2" s="8"/>
    </row>
    <row r="3" customFormat="false" ht="15" hidden="false" customHeight="false" outlineLevel="0" collapsed="false">
      <c r="A3" s="13" t="s">
        <v>77</v>
      </c>
      <c r="B3" s="13" t="s">
        <v>78</v>
      </c>
      <c r="C3" s="13" t="s">
        <v>79</v>
      </c>
      <c r="D3" s="13" t="s">
        <v>25</v>
      </c>
      <c r="E3" s="13" t="s">
        <v>80</v>
      </c>
      <c r="F3" s="13" t="s">
        <v>81</v>
      </c>
      <c r="G3" s="13" t="s">
        <v>76</v>
      </c>
      <c r="H3" s="14" t="n">
        <v>46332</v>
      </c>
      <c r="I3" s="13" t="s">
        <v>82</v>
      </c>
      <c r="J3" s="13" t="s">
        <v>76</v>
      </c>
      <c r="K3" s="15" t="n">
        <f aca="false">IF(A3="","",COUNTIF(Quotes!$C$2:$C$301,A3))</f>
        <v>3</v>
      </c>
      <c r="L3" s="16" t="b">
        <f aca="false">IF(A3="","",K3&gt;0)</f>
        <v>1</v>
      </c>
      <c r="M3" s="15" t="n">
        <f aca="false">IF(A3="","",COUNTIF(Picks!$C$2:$C$301,A3))</f>
        <v>0</v>
      </c>
      <c r="N3" s="17" t="str">
        <f aca="false">IF(A3="","",IF(M3=0,"no wins",K3/M3))</f>
        <v>no wins</v>
      </c>
      <c r="O3" s="15" t="n">
        <f aca="false">IF(A3="","",COUNTIFS(Picks!$C$2:$C$301,A3,Picks!$H$2:$H$301,"Y"))</f>
        <v>0</v>
      </c>
      <c r="P3" s="8"/>
      <c r="Q3" s="8"/>
    </row>
    <row r="4" customFormat="false" ht="15" hidden="false" customHeight="false" outlineLevel="0" collapsed="false">
      <c r="A4" s="13" t="s">
        <v>83</v>
      </c>
      <c r="B4" s="13" t="s">
        <v>84</v>
      </c>
      <c r="C4" s="13" t="s">
        <v>85</v>
      </c>
      <c r="D4" s="13" t="s">
        <v>25</v>
      </c>
      <c r="E4" s="13"/>
      <c r="F4" s="13" t="s">
        <v>73</v>
      </c>
      <c r="G4" s="13" t="s">
        <v>74</v>
      </c>
      <c r="H4" s="14" t="n">
        <v>46340</v>
      </c>
      <c r="I4" s="13" t="s">
        <v>86</v>
      </c>
      <c r="J4" s="13" t="s">
        <v>76</v>
      </c>
      <c r="K4" s="15" t="n">
        <f aca="false">IF(A4="","",COUNTIF(Quotes!$C$2:$C$301,A4))</f>
        <v>4</v>
      </c>
      <c r="L4" s="16" t="b">
        <f aca="false">IF(A4="","",K4&gt;0)</f>
        <v>1</v>
      </c>
      <c r="M4" s="15" t="n">
        <f aca="false">IF(A4="","",COUNTIF(Picks!$C$2:$C$301,A4))</f>
        <v>0</v>
      </c>
      <c r="N4" s="17" t="str">
        <f aca="false">IF(A4="","",IF(M4=0,"no wins",K4/M4))</f>
        <v>no wins</v>
      </c>
      <c r="O4" s="15" t="n">
        <f aca="false">IF(A4="","",COUNTIFS(Picks!$C$2:$C$301,A4,Picks!$H$2:$H$301,"Y"))</f>
        <v>0</v>
      </c>
      <c r="P4" s="8"/>
      <c r="Q4" s="8"/>
    </row>
    <row r="5" customFormat="false" ht="15" hidden="false" customHeight="false" outlineLevel="0" collapsed="false">
      <c r="A5" s="13" t="s">
        <v>87</v>
      </c>
      <c r="B5" s="13" t="s">
        <v>88</v>
      </c>
      <c r="C5" s="13" t="s">
        <v>89</v>
      </c>
      <c r="D5" s="13" t="s">
        <v>25</v>
      </c>
      <c r="E5" s="13"/>
      <c r="F5" s="13" t="s">
        <v>73</v>
      </c>
      <c r="G5" s="13" t="s">
        <v>74</v>
      </c>
      <c r="H5" s="14" t="n">
        <v>46329</v>
      </c>
      <c r="I5" s="13" t="s">
        <v>90</v>
      </c>
      <c r="J5" s="13" t="s">
        <v>91</v>
      </c>
      <c r="K5" s="15" t="n">
        <f aca="false">IF(A5="","",COUNTIF(Quotes!$C$2:$C$301,A5))</f>
        <v>4</v>
      </c>
      <c r="L5" s="16" t="b">
        <f aca="false">IF(A5="","",K5&gt;0)</f>
        <v>1</v>
      </c>
      <c r="M5" s="15" t="n">
        <f aca="false">IF(A5="","",COUNTIF(Picks!$C$2:$C$301,A5))</f>
        <v>0</v>
      </c>
      <c r="N5" s="17" t="str">
        <f aca="false">IF(A5="","",IF(M5=0,"no wins",K5/M5))</f>
        <v>no wins</v>
      </c>
      <c r="O5" s="15" t="n">
        <f aca="false">IF(A5="","",COUNTIFS(Picks!$C$2:$C$301,A5,Picks!$H$2:$H$301,"Y"))</f>
        <v>0</v>
      </c>
      <c r="P5" s="8"/>
      <c r="Q5" s="8"/>
    </row>
    <row r="6" customFormat="false" ht="15" hidden="false" customHeight="false" outlineLevel="0" collapsed="false">
      <c r="A6" s="13" t="s">
        <v>92</v>
      </c>
      <c r="B6" s="13" t="s">
        <v>93</v>
      </c>
      <c r="C6" s="13" t="s">
        <v>94</v>
      </c>
      <c r="D6" s="13" t="s">
        <v>25</v>
      </c>
      <c r="E6" s="13"/>
      <c r="F6" s="13" t="s">
        <v>73</v>
      </c>
      <c r="G6" s="13" t="s">
        <v>74</v>
      </c>
      <c r="H6" s="14" t="n">
        <v>46330</v>
      </c>
      <c r="I6" s="13" t="s">
        <v>75</v>
      </c>
      <c r="J6" s="13" t="s">
        <v>76</v>
      </c>
      <c r="K6" s="15" t="n">
        <f aca="false">IF(A6="","",COUNTIF(Quotes!$C$2:$C$301,A6))</f>
        <v>6</v>
      </c>
      <c r="L6" s="16" t="b">
        <f aca="false">IF(A6="","",K6&gt;0)</f>
        <v>1</v>
      </c>
      <c r="M6" s="15" t="n">
        <f aca="false">IF(A6="","",COUNTIF(Picks!$C$2:$C$301,A6))</f>
        <v>3</v>
      </c>
      <c r="N6" s="17" t="n">
        <f aca="false">IF(A6="","",IF(M6=0,"no wins",K6/M6))</f>
        <v>2</v>
      </c>
      <c r="O6" s="15" t="n">
        <f aca="false">IF(A6="","",COUNTIFS(Picks!$C$2:$C$301,A6,Picks!$H$2:$H$301,"Y"))</f>
        <v>2</v>
      </c>
      <c r="P6" s="8"/>
      <c r="Q6" s="8"/>
    </row>
    <row r="7" customFormat="false" ht="15" hidden="false" customHeight="false" outlineLevel="0" collapsed="false">
      <c r="A7" s="13" t="s">
        <v>95</v>
      </c>
      <c r="B7" s="13" t="s">
        <v>96</v>
      </c>
      <c r="C7" s="13" t="s">
        <v>97</v>
      </c>
      <c r="D7" s="13" t="s">
        <v>27</v>
      </c>
      <c r="E7" s="13"/>
      <c r="F7" s="13" t="s">
        <v>73</v>
      </c>
      <c r="G7" s="13" t="s">
        <v>74</v>
      </c>
      <c r="H7" s="14" t="n">
        <v>46331</v>
      </c>
      <c r="I7" s="13" t="s">
        <v>82</v>
      </c>
      <c r="J7" s="13" t="s">
        <v>76</v>
      </c>
      <c r="K7" s="15" t="n">
        <f aca="false">IF(A7="","",COUNTIF(Quotes!$C$2:$C$301,A7))</f>
        <v>4</v>
      </c>
      <c r="L7" s="16" t="b">
        <f aca="false">IF(A7="","",K7&gt;0)</f>
        <v>1</v>
      </c>
      <c r="M7" s="15" t="n">
        <f aca="false">IF(A7="","",COUNTIF(Picks!$C$2:$C$301,A7))</f>
        <v>0</v>
      </c>
      <c r="N7" s="17" t="str">
        <f aca="false">IF(A7="","",IF(M7=0,"no wins",K7/M7))</f>
        <v>no wins</v>
      </c>
      <c r="O7" s="15" t="n">
        <f aca="false">IF(A7="","",COUNTIFS(Picks!$C$2:$C$301,A7,Picks!$H$2:$H$301,"Y"))</f>
        <v>0</v>
      </c>
      <c r="P7" s="8"/>
      <c r="Q7" s="8"/>
    </row>
    <row r="8" customFormat="false" ht="15" hidden="false" customHeight="false" outlineLevel="0" collapsed="false">
      <c r="A8" s="13" t="s">
        <v>98</v>
      </c>
      <c r="B8" s="13" t="s">
        <v>99</v>
      </c>
      <c r="C8" s="13" t="s">
        <v>100</v>
      </c>
      <c r="D8" s="13" t="s">
        <v>27</v>
      </c>
      <c r="E8" s="13" t="s">
        <v>101</v>
      </c>
      <c r="F8" s="13" t="s">
        <v>73</v>
      </c>
      <c r="G8" s="13" t="s">
        <v>74</v>
      </c>
      <c r="H8" s="14" t="n">
        <v>46339</v>
      </c>
      <c r="I8" s="13" t="s">
        <v>75</v>
      </c>
      <c r="J8" s="13" t="s">
        <v>76</v>
      </c>
      <c r="K8" s="15" t="n">
        <f aca="false">IF(A8="","",COUNTIF(Quotes!$C$2:$C$301,A8))</f>
        <v>5</v>
      </c>
      <c r="L8" s="16" t="b">
        <f aca="false">IF(A8="","",K8&gt;0)</f>
        <v>1</v>
      </c>
      <c r="M8" s="15" t="n">
        <f aca="false">IF(A8="","",COUNTIF(Picks!$C$2:$C$301,A8))</f>
        <v>3</v>
      </c>
      <c r="N8" s="17" t="n">
        <f aca="false">IF(A8="","",IF(M8=0,"no wins",K8/M8))</f>
        <v>1.66666666666667</v>
      </c>
      <c r="O8" s="15" t="n">
        <f aca="false">IF(A8="","",COUNTIFS(Picks!$C$2:$C$301,A8,Picks!$H$2:$H$301,"Y"))</f>
        <v>2</v>
      </c>
      <c r="P8" s="8"/>
      <c r="Q8" s="8"/>
    </row>
    <row r="9" customFormat="false" ht="15" hidden="false" customHeight="false" outlineLevel="0" collapsed="false">
      <c r="A9" s="13" t="s">
        <v>102</v>
      </c>
      <c r="B9" s="13" t="s">
        <v>103</v>
      </c>
      <c r="C9" s="13" t="s">
        <v>104</v>
      </c>
      <c r="D9" s="13" t="s">
        <v>27</v>
      </c>
      <c r="E9" s="13"/>
      <c r="F9" s="13" t="s">
        <v>73</v>
      </c>
      <c r="G9" s="13" t="s">
        <v>74</v>
      </c>
      <c r="H9" s="14" t="n">
        <v>46329</v>
      </c>
      <c r="I9" s="13" t="s">
        <v>90</v>
      </c>
      <c r="J9" s="13" t="s">
        <v>91</v>
      </c>
      <c r="K9" s="15" t="n">
        <f aca="false">IF(A9="","",COUNTIF(Quotes!$C$2:$C$301,A9))</f>
        <v>3</v>
      </c>
      <c r="L9" s="16" t="b">
        <f aca="false">IF(A9="","",K9&gt;0)</f>
        <v>1</v>
      </c>
      <c r="M9" s="15" t="n">
        <f aca="false">IF(A9="","",COUNTIF(Picks!$C$2:$C$301,A9))</f>
        <v>0</v>
      </c>
      <c r="N9" s="17" t="str">
        <f aca="false">IF(A9="","",IF(M9=0,"no wins",K9/M9))</f>
        <v>no wins</v>
      </c>
      <c r="O9" s="15" t="n">
        <f aca="false">IF(A9="","",COUNTIFS(Picks!$C$2:$C$301,A9,Picks!$H$2:$H$301,"Y"))</f>
        <v>0</v>
      </c>
      <c r="P9" s="8"/>
      <c r="Q9" s="8"/>
    </row>
    <row r="10" customFormat="false" ht="15" hidden="false" customHeight="false" outlineLevel="0" collapsed="false">
      <c r="A10" s="13" t="s">
        <v>105</v>
      </c>
      <c r="B10" s="13" t="s">
        <v>106</v>
      </c>
      <c r="C10" s="13" t="s">
        <v>107</v>
      </c>
      <c r="D10" s="13" t="s">
        <v>27</v>
      </c>
      <c r="E10" s="13"/>
      <c r="F10" s="13" t="s">
        <v>73</v>
      </c>
      <c r="G10" s="13" t="s">
        <v>74</v>
      </c>
      <c r="H10" s="14" t="n">
        <v>46344</v>
      </c>
      <c r="I10" s="13" t="s">
        <v>82</v>
      </c>
      <c r="J10" s="13" t="s">
        <v>76</v>
      </c>
      <c r="K10" s="15" t="n">
        <f aca="false">IF(A10="","",COUNTIF(Quotes!$C$2:$C$301,A10))</f>
        <v>6</v>
      </c>
      <c r="L10" s="16" t="b">
        <f aca="false">IF(A10="","",K10&gt;0)</f>
        <v>1</v>
      </c>
      <c r="M10" s="15" t="n">
        <f aca="false">IF(A10="","",COUNTIF(Picks!$C$2:$C$301,A10))</f>
        <v>1</v>
      </c>
      <c r="N10" s="17" t="n">
        <f aca="false">IF(A10="","",IF(M10=0,"no wins",K10/M10))</f>
        <v>6</v>
      </c>
      <c r="O10" s="15" t="n">
        <f aca="false">IF(A10="","",COUNTIFS(Picks!$C$2:$C$301,A10,Picks!$H$2:$H$301,"Y"))</f>
        <v>0</v>
      </c>
      <c r="P10" s="8"/>
      <c r="Q10" s="8"/>
    </row>
    <row r="11" customFormat="false" ht="15" hidden="false" customHeight="false" outlineLevel="0" collapsed="false">
      <c r="A11" s="13" t="s">
        <v>108</v>
      </c>
      <c r="B11" s="13" t="s">
        <v>109</v>
      </c>
      <c r="C11" s="13" t="s">
        <v>110</v>
      </c>
      <c r="D11" s="13" t="s">
        <v>27</v>
      </c>
      <c r="E11" s="13"/>
      <c r="F11" s="13" t="s">
        <v>73</v>
      </c>
      <c r="G11" s="13" t="s">
        <v>74</v>
      </c>
      <c r="H11" s="14" t="n">
        <v>46334</v>
      </c>
      <c r="I11" s="13" t="s">
        <v>111</v>
      </c>
      <c r="J11" s="13" t="s">
        <v>76</v>
      </c>
      <c r="K11" s="15" t="n">
        <f aca="false">IF(A11="","",COUNTIF(Quotes!$C$2:$C$301,A11))</f>
        <v>8</v>
      </c>
      <c r="L11" s="16" t="b">
        <f aca="false">IF(A11="","",K11&gt;0)</f>
        <v>1</v>
      </c>
      <c r="M11" s="15" t="n">
        <f aca="false">IF(A11="","",COUNTIF(Picks!$C$2:$C$301,A11))</f>
        <v>1</v>
      </c>
      <c r="N11" s="17" t="n">
        <f aca="false">IF(A11="","",IF(M11=0,"no wins",K11/M11))</f>
        <v>8</v>
      </c>
      <c r="O11" s="15" t="n">
        <f aca="false">IF(A11="","",COUNTIFS(Picks!$C$2:$C$301,A11,Picks!$H$2:$H$301,"Y"))</f>
        <v>1</v>
      </c>
      <c r="P11" s="8"/>
      <c r="Q11" s="8"/>
    </row>
    <row r="12" customFormat="false" ht="15" hidden="false" customHeight="false" outlineLevel="0" collapsed="false">
      <c r="A12" s="13" t="s">
        <v>112</v>
      </c>
      <c r="B12" s="13" t="s">
        <v>113</v>
      </c>
      <c r="C12" s="13" t="s">
        <v>114</v>
      </c>
      <c r="D12" s="13" t="s">
        <v>115</v>
      </c>
      <c r="E12" s="13"/>
      <c r="F12" s="13" t="s">
        <v>116</v>
      </c>
      <c r="G12" s="13" t="s">
        <v>76</v>
      </c>
      <c r="H12" s="14" t="n">
        <v>46329</v>
      </c>
      <c r="I12" s="13" t="s">
        <v>75</v>
      </c>
      <c r="J12" s="13" t="s">
        <v>76</v>
      </c>
      <c r="K12" s="15" t="n">
        <f aca="false">IF(A12="","",COUNTIF(Quotes!$C$2:$C$301,A12))</f>
        <v>1</v>
      </c>
      <c r="L12" s="16" t="b">
        <f aca="false">IF(A12="","",K12&gt;0)</f>
        <v>1</v>
      </c>
      <c r="M12" s="15" t="n">
        <f aca="false">IF(A12="","",COUNTIF(Picks!$C$2:$C$301,A12))</f>
        <v>1</v>
      </c>
      <c r="N12" s="17" t="n">
        <f aca="false">IF(A12="","",IF(M12=0,"no wins",K12/M12))</f>
        <v>1</v>
      </c>
      <c r="O12" s="15" t="n">
        <f aca="false">IF(A12="","",COUNTIFS(Picks!$C$2:$C$301,A12,Picks!$H$2:$H$301,"Y"))</f>
        <v>0</v>
      </c>
      <c r="P12" s="8"/>
      <c r="Q12" s="8"/>
    </row>
    <row r="13" customFormat="false" ht="15" hidden="false" customHeight="false" outlineLevel="0" collapsed="false">
      <c r="A13" s="13" t="s">
        <v>117</v>
      </c>
      <c r="B13" s="13" t="s">
        <v>118</v>
      </c>
      <c r="C13" s="13" t="s">
        <v>119</v>
      </c>
      <c r="D13" s="13" t="s">
        <v>120</v>
      </c>
      <c r="E13" s="13"/>
      <c r="F13" s="13" t="s">
        <v>73</v>
      </c>
      <c r="G13" s="13" t="s">
        <v>74</v>
      </c>
      <c r="H13" s="14" t="n">
        <v>46330</v>
      </c>
      <c r="I13" s="13" t="s">
        <v>82</v>
      </c>
      <c r="J13" s="13" t="s">
        <v>76</v>
      </c>
      <c r="K13" s="15" t="n">
        <f aca="false">IF(A13="","",COUNTIF(Quotes!$C$2:$C$301,A13))</f>
        <v>0</v>
      </c>
      <c r="L13" s="16" t="b">
        <f aca="false">IF(A13="","",K13&gt;0)</f>
        <v>0</v>
      </c>
      <c r="M13" s="15" t="n">
        <f aca="false">IF(A13="","",COUNTIF(Picks!$C$2:$C$301,A13))</f>
        <v>0</v>
      </c>
      <c r="N13" s="17" t="str">
        <f aca="false">IF(A13="","",IF(M13=0,"no wins",K13/M13))</f>
        <v>no wins</v>
      </c>
      <c r="O13" s="15" t="n">
        <f aca="false">IF(A13="","",COUNTIFS(Picks!$C$2:$C$301,A13,Picks!$H$2:$H$301,"Y"))</f>
        <v>0</v>
      </c>
      <c r="P13" s="8"/>
      <c r="Q13" s="8"/>
    </row>
    <row r="14" customFormat="false" ht="15" hidden="false" customHeight="false" outlineLevel="0" collapsed="false">
      <c r="A14" s="13" t="s">
        <v>121</v>
      </c>
      <c r="B14" s="13" t="s">
        <v>122</v>
      </c>
      <c r="C14" s="13" t="s">
        <v>123</v>
      </c>
      <c r="D14" s="13" t="s">
        <v>27</v>
      </c>
      <c r="E14" s="13"/>
      <c r="F14" s="13" t="s">
        <v>73</v>
      </c>
      <c r="G14" s="13" t="s">
        <v>74</v>
      </c>
      <c r="H14" s="14" t="n">
        <v>46341</v>
      </c>
      <c r="I14" s="13" t="s">
        <v>75</v>
      </c>
      <c r="J14" s="13" t="s">
        <v>76</v>
      </c>
      <c r="K14" s="15" t="n">
        <f aca="false">IF(A14="","",COUNTIF(Quotes!$C$2:$C$301,A14))</f>
        <v>0</v>
      </c>
      <c r="L14" s="16" t="b">
        <f aca="false">IF(A14="","",K14&gt;0)</f>
        <v>0</v>
      </c>
      <c r="M14" s="15" t="n">
        <f aca="false">IF(A14="","",COUNTIF(Picks!$C$2:$C$301,A14))</f>
        <v>0</v>
      </c>
      <c r="N14" s="17" t="str">
        <f aca="false">IF(A14="","",IF(M14=0,"no wins",K14/M14))</f>
        <v>no wins</v>
      </c>
      <c r="O14" s="15" t="n">
        <f aca="false">IF(A14="","",COUNTIFS(Picks!$C$2:$C$301,A14,Picks!$H$2:$H$301,"Y"))</f>
        <v>0</v>
      </c>
      <c r="P14" s="8"/>
      <c r="Q14" s="8"/>
    </row>
    <row r="15" customFormat="false" ht="15" hidden="false" customHeight="false" outlineLevel="0" collapsed="false">
      <c r="A15" s="13"/>
      <c r="B15" s="13"/>
      <c r="C15" s="13"/>
      <c r="D15" s="13"/>
      <c r="E15" s="13"/>
      <c r="F15" s="13"/>
      <c r="G15" s="13"/>
      <c r="H15" s="14"/>
      <c r="I15" s="13"/>
      <c r="J15" s="13"/>
      <c r="K15" s="15" t="str">
        <f aca="false">IF(A15="","",COUNTIF(Quotes!$C$2:$C$301,A15))</f>
        <v/>
      </c>
      <c r="L15" s="15" t="str">
        <f aca="false">IF(A15="","",K15&gt;0)</f>
        <v/>
      </c>
      <c r="M15" s="15" t="str">
        <f aca="false">IF(A15="","",COUNTIF(Picks!$C$2:$C$301,A15))</f>
        <v/>
      </c>
      <c r="N15" s="17" t="str">
        <f aca="false">IF(A15="","",IF(M15=0,"no wins",K15/M15))</f>
        <v/>
      </c>
      <c r="O15" s="15" t="str">
        <f aca="false">IF(A15="","",COUNTIFS(Picks!$C$2:$C$301,A15,Picks!$H$2:$H$301,"Y"))</f>
        <v/>
      </c>
      <c r="P15" s="8"/>
      <c r="Q15" s="8"/>
    </row>
    <row r="16" customFormat="false" ht="15" hidden="false" customHeight="false" outlineLevel="0" collapsed="false">
      <c r="A16" s="13"/>
      <c r="B16" s="13"/>
      <c r="C16" s="13"/>
      <c r="D16" s="13"/>
      <c r="E16" s="13"/>
      <c r="F16" s="13"/>
      <c r="G16" s="13"/>
      <c r="H16" s="14"/>
      <c r="I16" s="13"/>
      <c r="J16" s="13"/>
      <c r="K16" s="15" t="str">
        <f aca="false">IF(A16="","",COUNTIF(Quotes!$C$2:$C$301,A16))</f>
        <v/>
      </c>
      <c r="L16" s="15" t="str">
        <f aca="false">IF(A16="","",K16&gt;0)</f>
        <v/>
      </c>
      <c r="M16" s="15" t="str">
        <f aca="false">IF(A16="","",COUNTIF(Picks!$C$2:$C$301,A16))</f>
        <v/>
      </c>
      <c r="N16" s="17" t="str">
        <f aca="false">IF(A16="","",IF(M16=0,"no wins",K16/M16))</f>
        <v/>
      </c>
      <c r="O16" s="15" t="str">
        <f aca="false">IF(A16="","",COUNTIFS(Picks!$C$2:$C$301,A16,Picks!$H$2:$H$301,"Y"))</f>
        <v/>
      </c>
      <c r="P16" s="8"/>
      <c r="Q16" s="8"/>
    </row>
    <row r="17" customFormat="false" ht="15" hidden="false" customHeight="false" outlineLevel="0" collapsed="false">
      <c r="A17" s="13"/>
      <c r="B17" s="13"/>
      <c r="C17" s="13"/>
      <c r="D17" s="13"/>
      <c r="E17" s="13"/>
      <c r="F17" s="13"/>
      <c r="G17" s="13"/>
      <c r="H17" s="14"/>
      <c r="I17" s="13"/>
      <c r="J17" s="13"/>
      <c r="K17" s="15" t="str">
        <f aca="false">IF(A17="","",COUNTIF(Quotes!$C$2:$C$301,A17))</f>
        <v/>
      </c>
      <c r="L17" s="15" t="str">
        <f aca="false">IF(A17="","",K17&gt;0)</f>
        <v/>
      </c>
      <c r="M17" s="15" t="str">
        <f aca="false">IF(A17="","",COUNTIF(Picks!$C$2:$C$301,A17))</f>
        <v/>
      </c>
      <c r="N17" s="17" t="str">
        <f aca="false">IF(A17="","",IF(M17=0,"no wins",K17/M17))</f>
        <v/>
      </c>
      <c r="O17" s="15" t="str">
        <f aca="false">IF(A17="","",COUNTIFS(Picks!$C$2:$C$301,A17,Picks!$H$2:$H$301,"Y"))</f>
        <v/>
      </c>
      <c r="P17" s="8"/>
      <c r="Q17" s="8"/>
    </row>
    <row r="18" customFormat="false" ht="15" hidden="false" customHeight="false" outlineLevel="0" collapsed="false">
      <c r="A18" s="13"/>
      <c r="B18" s="13"/>
      <c r="C18" s="13"/>
      <c r="D18" s="13"/>
      <c r="E18" s="13"/>
      <c r="F18" s="13"/>
      <c r="G18" s="13"/>
      <c r="H18" s="14"/>
      <c r="I18" s="13"/>
      <c r="J18" s="13"/>
      <c r="K18" s="15" t="str">
        <f aca="false">IF(A18="","",COUNTIF(Quotes!$C$2:$C$301,A18))</f>
        <v/>
      </c>
      <c r="L18" s="15" t="str">
        <f aca="false">IF(A18="","",K18&gt;0)</f>
        <v/>
      </c>
      <c r="M18" s="15" t="str">
        <f aca="false">IF(A18="","",COUNTIF(Picks!$C$2:$C$301,A18))</f>
        <v/>
      </c>
      <c r="N18" s="17" t="str">
        <f aca="false">IF(A18="","",IF(M18=0,"no wins",K18/M18))</f>
        <v/>
      </c>
      <c r="O18" s="15" t="str">
        <f aca="false">IF(A18="","",COUNTIFS(Picks!$C$2:$C$301,A18,Picks!$H$2:$H$301,"Y"))</f>
        <v/>
      </c>
      <c r="P18" s="8"/>
      <c r="Q18" s="8"/>
    </row>
    <row r="19" customFormat="false" ht="15" hidden="false" customHeight="false" outlineLevel="0" collapsed="false">
      <c r="A19" s="13"/>
      <c r="B19" s="13"/>
      <c r="C19" s="13"/>
      <c r="D19" s="13"/>
      <c r="E19" s="13"/>
      <c r="F19" s="13"/>
      <c r="G19" s="13"/>
      <c r="H19" s="14"/>
      <c r="I19" s="13"/>
      <c r="J19" s="13"/>
      <c r="K19" s="15" t="str">
        <f aca="false">IF(A19="","",COUNTIF(Quotes!$C$2:$C$301,A19))</f>
        <v/>
      </c>
      <c r="L19" s="15" t="str">
        <f aca="false">IF(A19="","",K19&gt;0)</f>
        <v/>
      </c>
      <c r="M19" s="15" t="str">
        <f aca="false">IF(A19="","",COUNTIF(Picks!$C$2:$C$301,A19))</f>
        <v/>
      </c>
      <c r="N19" s="17" t="str">
        <f aca="false">IF(A19="","",IF(M19=0,"no wins",K19/M19))</f>
        <v/>
      </c>
      <c r="O19" s="15" t="str">
        <f aca="false">IF(A19="","",COUNTIFS(Picks!$C$2:$C$301,A19,Picks!$H$2:$H$301,"Y"))</f>
        <v/>
      </c>
      <c r="P19" s="8"/>
      <c r="Q19" s="8"/>
    </row>
    <row r="20" customFormat="false" ht="15" hidden="false" customHeight="false" outlineLevel="0" collapsed="false">
      <c r="A20" s="13"/>
      <c r="B20" s="13"/>
      <c r="C20" s="13"/>
      <c r="D20" s="13"/>
      <c r="E20" s="13"/>
      <c r="F20" s="13"/>
      <c r="G20" s="13"/>
      <c r="H20" s="14"/>
      <c r="I20" s="13"/>
      <c r="J20" s="13"/>
      <c r="K20" s="15" t="str">
        <f aca="false">IF(A20="","",COUNTIF(Quotes!$C$2:$C$301,A20))</f>
        <v/>
      </c>
      <c r="L20" s="15" t="str">
        <f aca="false">IF(A20="","",K20&gt;0)</f>
        <v/>
      </c>
      <c r="M20" s="15" t="str">
        <f aca="false">IF(A20="","",COUNTIF(Picks!$C$2:$C$301,A20))</f>
        <v/>
      </c>
      <c r="N20" s="17" t="str">
        <f aca="false">IF(A20="","",IF(M20=0,"no wins",K20/M20))</f>
        <v/>
      </c>
      <c r="O20" s="15" t="str">
        <f aca="false">IF(A20="","",COUNTIFS(Picks!$C$2:$C$301,A20,Picks!$H$2:$H$301,"Y"))</f>
        <v/>
      </c>
      <c r="P20" s="8"/>
      <c r="Q20" s="8"/>
    </row>
    <row r="21" customFormat="false" ht="15" hidden="false" customHeight="false" outlineLevel="0" collapsed="false">
      <c r="A21" s="13"/>
      <c r="B21" s="13"/>
      <c r="C21" s="13"/>
      <c r="D21" s="13"/>
      <c r="E21" s="13"/>
      <c r="F21" s="13"/>
      <c r="G21" s="13"/>
      <c r="H21" s="14"/>
      <c r="I21" s="13"/>
      <c r="J21" s="13"/>
      <c r="K21" s="15" t="str">
        <f aca="false">IF(A21="","",COUNTIF(Quotes!$C$2:$C$301,A21))</f>
        <v/>
      </c>
      <c r="L21" s="15" t="str">
        <f aca="false">IF(A21="","",K21&gt;0)</f>
        <v/>
      </c>
      <c r="M21" s="15" t="str">
        <f aca="false">IF(A21="","",COUNTIF(Picks!$C$2:$C$301,A21))</f>
        <v/>
      </c>
      <c r="N21" s="17" t="str">
        <f aca="false">IF(A21="","",IF(M21=0,"no wins",K21/M21))</f>
        <v/>
      </c>
      <c r="O21" s="15" t="str">
        <f aca="false">IF(A21="","",COUNTIFS(Picks!$C$2:$C$301,A21,Picks!$H$2:$H$301,"Y"))</f>
        <v/>
      </c>
      <c r="P21" s="8"/>
      <c r="Q21" s="8"/>
    </row>
    <row r="22" customFormat="false" ht="15" hidden="false" customHeight="false" outlineLevel="0" collapsed="false">
      <c r="A22" s="13"/>
      <c r="B22" s="13"/>
      <c r="C22" s="13"/>
      <c r="D22" s="13"/>
      <c r="E22" s="13"/>
      <c r="F22" s="13"/>
      <c r="G22" s="13"/>
      <c r="H22" s="14"/>
      <c r="I22" s="13"/>
      <c r="J22" s="13"/>
      <c r="K22" s="15" t="str">
        <f aca="false">IF(A22="","",COUNTIF(Quotes!$C$2:$C$301,A22))</f>
        <v/>
      </c>
      <c r="L22" s="15" t="str">
        <f aca="false">IF(A22="","",K22&gt;0)</f>
        <v/>
      </c>
      <c r="M22" s="15" t="str">
        <f aca="false">IF(A22="","",COUNTIF(Picks!$C$2:$C$301,A22))</f>
        <v/>
      </c>
      <c r="N22" s="17" t="str">
        <f aca="false">IF(A22="","",IF(M22=0,"no wins",K22/M22))</f>
        <v/>
      </c>
      <c r="O22" s="15" t="str">
        <f aca="false">IF(A22="","",COUNTIFS(Picks!$C$2:$C$301,A22,Picks!$H$2:$H$301,"Y"))</f>
        <v/>
      </c>
      <c r="P22" s="8"/>
      <c r="Q22" s="8"/>
    </row>
    <row r="23" customFormat="false" ht="15" hidden="false" customHeight="false" outlineLevel="0" collapsed="false">
      <c r="A23" s="13"/>
      <c r="B23" s="13"/>
      <c r="C23" s="13"/>
      <c r="D23" s="13"/>
      <c r="E23" s="13"/>
      <c r="F23" s="13"/>
      <c r="G23" s="13"/>
      <c r="H23" s="14"/>
      <c r="I23" s="13"/>
      <c r="J23" s="13"/>
      <c r="K23" s="15" t="str">
        <f aca="false">IF(A23="","",COUNTIF(Quotes!$C$2:$C$301,A23))</f>
        <v/>
      </c>
      <c r="L23" s="15" t="str">
        <f aca="false">IF(A23="","",K23&gt;0)</f>
        <v/>
      </c>
      <c r="M23" s="15" t="str">
        <f aca="false">IF(A23="","",COUNTIF(Picks!$C$2:$C$301,A23))</f>
        <v/>
      </c>
      <c r="N23" s="17" t="str">
        <f aca="false">IF(A23="","",IF(M23=0,"no wins",K23/M23))</f>
        <v/>
      </c>
      <c r="O23" s="15" t="str">
        <f aca="false">IF(A23="","",COUNTIFS(Picks!$C$2:$C$301,A23,Picks!$H$2:$H$301,"Y"))</f>
        <v/>
      </c>
      <c r="P23" s="8"/>
      <c r="Q23" s="8"/>
    </row>
    <row r="24" customFormat="false" ht="15" hidden="false" customHeight="false" outlineLevel="0" collapsed="false">
      <c r="A24" s="13"/>
      <c r="B24" s="13"/>
      <c r="C24" s="13"/>
      <c r="D24" s="13"/>
      <c r="E24" s="13"/>
      <c r="F24" s="13"/>
      <c r="G24" s="13"/>
      <c r="H24" s="14"/>
      <c r="I24" s="13"/>
      <c r="J24" s="13"/>
      <c r="K24" s="15" t="str">
        <f aca="false">IF(A24="","",COUNTIF(Quotes!$C$2:$C$301,A24))</f>
        <v/>
      </c>
      <c r="L24" s="15" t="str">
        <f aca="false">IF(A24="","",K24&gt;0)</f>
        <v/>
      </c>
      <c r="M24" s="15" t="str">
        <f aca="false">IF(A24="","",COUNTIF(Picks!$C$2:$C$301,A24))</f>
        <v/>
      </c>
      <c r="N24" s="17" t="str">
        <f aca="false">IF(A24="","",IF(M24=0,"no wins",K24/M24))</f>
        <v/>
      </c>
      <c r="O24" s="15" t="str">
        <f aca="false">IF(A24="","",COUNTIFS(Picks!$C$2:$C$301,A24,Picks!$H$2:$H$301,"Y"))</f>
        <v/>
      </c>
      <c r="P24" s="8"/>
      <c r="Q24" s="8"/>
    </row>
    <row r="25" customFormat="false" ht="15" hidden="false" customHeight="false" outlineLevel="0" collapsed="false">
      <c r="A25" s="13"/>
      <c r="B25" s="13"/>
      <c r="C25" s="13"/>
      <c r="D25" s="13"/>
      <c r="E25" s="13"/>
      <c r="F25" s="13"/>
      <c r="G25" s="13"/>
      <c r="H25" s="14"/>
      <c r="I25" s="13"/>
      <c r="J25" s="13"/>
      <c r="K25" s="15" t="str">
        <f aca="false">IF(A25="","",COUNTIF(Quotes!$C$2:$C$301,A25))</f>
        <v/>
      </c>
      <c r="L25" s="15" t="str">
        <f aca="false">IF(A25="","",K25&gt;0)</f>
        <v/>
      </c>
      <c r="M25" s="15" t="str">
        <f aca="false">IF(A25="","",COUNTIF(Picks!$C$2:$C$301,A25))</f>
        <v/>
      </c>
      <c r="N25" s="17" t="str">
        <f aca="false">IF(A25="","",IF(M25=0,"no wins",K25/M25))</f>
        <v/>
      </c>
      <c r="O25" s="15" t="str">
        <f aca="false">IF(A25="","",COUNTIFS(Picks!$C$2:$C$301,A25,Picks!$H$2:$H$301,"Y"))</f>
        <v/>
      </c>
      <c r="P25" s="8"/>
      <c r="Q25" s="8"/>
    </row>
    <row r="26" customFormat="false" ht="15" hidden="false" customHeight="false" outlineLevel="0" collapsed="false">
      <c r="A26" s="13"/>
      <c r="B26" s="13"/>
      <c r="C26" s="13"/>
      <c r="D26" s="13"/>
      <c r="E26" s="13"/>
      <c r="F26" s="13"/>
      <c r="G26" s="13"/>
      <c r="H26" s="14"/>
      <c r="I26" s="13"/>
      <c r="J26" s="13"/>
      <c r="K26" s="15" t="str">
        <f aca="false">IF(A26="","",COUNTIF(Quotes!$C$2:$C$301,A26))</f>
        <v/>
      </c>
      <c r="L26" s="15" t="str">
        <f aca="false">IF(A26="","",K26&gt;0)</f>
        <v/>
      </c>
      <c r="M26" s="15" t="str">
        <f aca="false">IF(A26="","",COUNTIF(Picks!$C$2:$C$301,A26))</f>
        <v/>
      </c>
      <c r="N26" s="17" t="str">
        <f aca="false">IF(A26="","",IF(M26=0,"no wins",K26/M26))</f>
        <v/>
      </c>
      <c r="O26" s="15" t="str">
        <f aca="false">IF(A26="","",COUNTIFS(Picks!$C$2:$C$301,A26,Picks!$H$2:$H$301,"Y"))</f>
        <v/>
      </c>
      <c r="P26" s="8"/>
      <c r="Q26" s="8"/>
    </row>
    <row r="27" customFormat="false" ht="15" hidden="false" customHeight="false" outlineLevel="0" collapsed="false">
      <c r="A27" s="13"/>
      <c r="B27" s="13"/>
      <c r="C27" s="13"/>
      <c r="D27" s="13"/>
      <c r="E27" s="13"/>
      <c r="F27" s="13"/>
      <c r="G27" s="13"/>
      <c r="H27" s="14"/>
      <c r="I27" s="13"/>
      <c r="J27" s="13"/>
      <c r="K27" s="15" t="str">
        <f aca="false">IF(A27="","",COUNTIF(Quotes!$C$2:$C$301,A27))</f>
        <v/>
      </c>
      <c r="L27" s="15" t="str">
        <f aca="false">IF(A27="","",K27&gt;0)</f>
        <v/>
      </c>
      <c r="M27" s="15" t="str">
        <f aca="false">IF(A27="","",COUNTIF(Picks!$C$2:$C$301,A27))</f>
        <v/>
      </c>
      <c r="N27" s="17" t="str">
        <f aca="false">IF(A27="","",IF(M27=0,"no wins",K27/M27))</f>
        <v/>
      </c>
      <c r="O27" s="15" t="str">
        <f aca="false">IF(A27="","",COUNTIFS(Picks!$C$2:$C$301,A27,Picks!$H$2:$H$301,"Y"))</f>
        <v/>
      </c>
      <c r="P27" s="8"/>
      <c r="Q27" s="8"/>
    </row>
    <row r="28" customFormat="false" ht="15" hidden="false" customHeight="false" outlineLevel="0" collapsed="false">
      <c r="A28" s="13"/>
      <c r="B28" s="13"/>
      <c r="C28" s="13"/>
      <c r="D28" s="13"/>
      <c r="E28" s="13"/>
      <c r="F28" s="13"/>
      <c r="G28" s="13"/>
      <c r="H28" s="14"/>
      <c r="I28" s="13"/>
      <c r="J28" s="13"/>
      <c r="K28" s="15" t="str">
        <f aca="false">IF(A28="","",COUNTIF(Quotes!$C$2:$C$301,A28))</f>
        <v/>
      </c>
      <c r="L28" s="15" t="str">
        <f aca="false">IF(A28="","",K28&gt;0)</f>
        <v/>
      </c>
      <c r="M28" s="15" t="str">
        <f aca="false">IF(A28="","",COUNTIF(Picks!$C$2:$C$301,A28))</f>
        <v/>
      </c>
      <c r="N28" s="17" t="str">
        <f aca="false">IF(A28="","",IF(M28=0,"no wins",K28/M28))</f>
        <v/>
      </c>
      <c r="O28" s="15" t="str">
        <f aca="false">IF(A28="","",COUNTIFS(Picks!$C$2:$C$301,A28,Picks!$H$2:$H$301,"Y"))</f>
        <v/>
      </c>
      <c r="P28" s="8"/>
      <c r="Q28" s="8"/>
    </row>
    <row r="29" customFormat="false" ht="15" hidden="false" customHeight="false" outlineLevel="0" collapsed="false">
      <c r="A29" s="13"/>
      <c r="B29" s="13"/>
      <c r="C29" s="13"/>
      <c r="D29" s="13"/>
      <c r="E29" s="13"/>
      <c r="F29" s="13"/>
      <c r="G29" s="13"/>
      <c r="H29" s="14"/>
      <c r="I29" s="13"/>
      <c r="J29" s="13"/>
      <c r="K29" s="15" t="str">
        <f aca="false">IF(A29="","",COUNTIF(Quotes!$C$2:$C$301,A29))</f>
        <v/>
      </c>
      <c r="L29" s="15" t="str">
        <f aca="false">IF(A29="","",K29&gt;0)</f>
        <v/>
      </c>
      <c r="M29" s="15" t="str">
        <f aca="false">IF(A29="","",COUNTIF(Picks!$C$2:$C$301,A29))</f>
        <v/>
      </c>
      <c r="N29" s="17" t="str">
        <f aca="false">IF(A29="","",IF(M29=0,"no wins",K29/M29))</f>
        <v/>
      </c>
      <c r="O29" s="15" t="str">
        <f aca="false">IF(A29="","",COUNTIFS(Picks!$C$2:$C$301,A29,Picks!$H$2:$H$301,"Y"))</f>
        <v/>
      </c>
      <c r="P29" s="8"/>
      <c r="Q29" s="8"/>
    </row>
    <row r="30" customFormat="false" ht="15" hidden="false" customHeight="false" outlineLevel="0" collapsed="false">
      <c r="A30" s="13"/>
      <c r="B30" s="13"/>
      <c r="C30" s="13"/>
      <c r="D30" s="13"/>
      <c r="E30" s="13"/>
      <c r="F30" s="13"/>
      <c r="G30" s="13"/>
      <c r="H30" s="14"/>
      <c r="I30" s="13"/>
      <c r="J30" s="13"/>
      <c r="K30" s="15" t="str">
        <f aca="false">IF(A30="","",COUNTIF(Quotes!$C$2:$C$301,A30))</f>
        <v/>
      </c>
      <c r="L30" s="15" t="str">
        <f aca="false">IF(A30="","",K30&gt;0)</f>
        <v/>
      </c>
      <c r="M30" s="15" t="str">
        <f aca="false">IF(A30="","",COUNTIF(Picks!$C$2:$C$301,A30))</f>
        <v/>
      </c>
      <c r="N30" s="17" t="str">
        <f aca="false">IF(A30="","",IF(M30=0,"no wins",K30/M30))</f>
        <v/>
      </c>
      <c r="O30" s="15" t="str">
        <f aca="false">IF(A30="","",COUNTIFS(Picks!$C$2:$C$301,A30,Picks!$H$2:$H$301,"Y"))</f>
        <v/>
      </c>
      <c r="P30" s="8"/>
      <c r="Q30" s="8"/>
    </row>
    <row r="31" customFormat="false" ht="15" hidden="false" customHeight="false" outlineLevel="0" collapsed="false">
      <c r="A31" s="13"/>
      <c r="B31" s="13"/>
      <c r="C31" s="13"/>
      <c r="D31" s="13"/>
      <c r="E31" s="13"/>
      <c r="F31" s="13"/>
      <c r="G31" s="13"/>
      <c r="H31" s="14"/>
      <c r="I31" s="13"/>
      <c r="J31" s="13"/>
      <c r="K31" s="15" t="str">
        <f aca="false">IF(A31="","",COUNTIF(Quotes!$C$2:$C$301,A31))</f>
        <v/>
      </c>
      <c r="L31" s="15" t="str">
        <f aca="false">IF(A31="","",K31&gt;0)</f>
        <v/>
      </c>
      <c r="M31" s="15" t="str">
        <f aca="false">IF(A31="","",COUNTIF(Picks!$C$2:$C$301,A31))</f>
        <v/>
      </c>
      <c r="N31" s="17" t="str">
        <f aca="false">IF(A31="","",IF(M31=0,"no wins",K31/M31))</f>
        <v/>
      </c>
      <c r="O31" s="15" t="str">
        <f aca="false">IF(A31="","",COUNTIFS(Picks!$C$2:$C$301,A31,Picks!$H$2:$H$301,"Y"))</f>
        <v/>
      </c>
      <c r="P31" s="8"/>
      <c r="Q31" s="8"/>
    </row>
    <row r="32" customFormat="false" ht="15" hidden="false" customHeight="false" outlineLevel="0" collapsed="false">
      <c r="A32" s="13"/>
      <c r="B32" s="13"/>
      <c r="C32" s="13"/>
      <c r="D32" s="13"/>
      <c r="E32" s="13"/>
      <c r="F32" s="13"/>
      <c r="G32" s="13"/>
      <c r="H32" s="14"/>
      <c r="I32" s="13"/>
      <c r="J32" s="13"/>
      <c r="K32" s="15" t="str">
        <f aca="false">IF(A32="","",COUNTIF(Quotes!$C$2:$C$301,A32))</f>
        <v/>
      </c>
      <c r="L32" s="15" t="str">
        <f aca="false">IF(A32="","",K32&gt;0)</f>
        <v/>
      </c>
      <c r="M32" s="15" t="str">
        <f aca="false">IF(A32="","",COUNTIF(Picks!$C$2:$C$301,A32))</f>
        <v/>
      </c>
      <c r="N32" s="17" t="str">
        <f aca="false">IF(A32="","",IF(M32=0,"no wins",K32/M32))</f>
        <v/>
      </c>
      <c r="O32" s="15" t="str">
        <f aca="false">IF(A32="","",COUNTIFS(Picks!$C$2:$C$301,A32,Picks!$H$2:$H$301,"Y"))</f>
        <v/>
      </c>
      <c r="P32" s="8"/>
      <c r="Q32" s="8"/>
    </row>
    <row r="33" customFormat="false" ht="15" hidden="false" customHeight="false" outlineLevel="0" collapsed="false">
      <c r="A33" s="13"/>
      <c r="B33" s="13"/>
      <c r="C33" s="13"/>
      <c r="D33" s="13"/>
      <c r="E33" s="13"/>
      <c r="F33" s="13"/>
      <c r="G33" s="13"/>
      <c r="H33" s="14"/>
      <c r="I33" s="13"/>
      <c r="J33" s="13"/>
      <c r="K33" s="15" t="str">
        <f aca="false">IF(A33="","",COUNTIF(Quotes!$C$2:$C$301,A33))</f>
        <v/>
      </c>
      <c r="L33" s="15" t="str">
        <f aca="false">IF(A33="","",K33&gt;0)</f>
        <v/>
      </c>
      <c r="M33" s="15" t="str">
        <f aca="false">IF(A33="","",COUNTIF(Picks!$C$2:$C$301,A33))</f>
        <v/>
      </c>
      <c r="N33" s="17" t="str">
        <f aca="false">IF(A33="","",IF(M33=0,"no wins",K33/M33))</f>
        <v/>
      </c>
      <c r="O33" s="15" t="str">
        <f aca="false">IF(A33="","",COUNTIFS(Picks!$C$2:$C$301,A33,Picks!$H$2:$H$301,"Y"))</f>
        <v/>
      </c>
      <c r="P33" s="8"/>
      <c r="Q33" s="8"/>
    </row>
    <row r="34" customFormat="false" ht="15" hidden="false" customHeight="false" outlineLevel="0" collapsed="false">
      <c r="A34" s="13"/>
      <c r="B34" s="13"/>
      <c r="C34" s="13"/>
      <c r="D34" s="13"/>
      <c r="E34" s="13"/>
      <c r="F34" s="13"/>
      <c r="G34" s="13"/>
      <c r="H34" s="14"/>
      <c r="I34" s="13"/>
      <c r="J34" s="13"/>
      <c r="K34" s="15" t="str">
        <f aca="false">IF(A34="","",COUNTIF(Quotes!$C$2:$C$301,A34))</f>
        <v/>
      </c>
      <c r="L34" s="15" t="str">
        <f aca="false">IF(A34="","",K34&gt;0)</f>
        <v/>
      </c>
      <c r="M34" s="15" t="str">
        <f aca="false">IF(A34="","",COUNTIF(Picks!$C$2:$C$301,A34))</f>
        <v/>
      </c>
      <c r="N34" s="17" t="str">
        <f aca="false">IF(A34="","",IF(M34=0,"no wins",K34/M34))</f>
        <v/>
      </c>
      <c r="O34" s="15" t="str">
        <f aca="false">IF(A34="","",COUNTIFS(Picks!$C$2:$C$301,A34,Picks!$H$2:$H$301,"Y"))</f>
        <v/>
      </c>
      <c r="P34" s="8"/>
      <c r="Q34" s="8"/>
    </row>
    <row r="35" customFormat="false" ht="15" hidden="false" customHeight="false" outlineLevel="0" collapsed="false">
      <c r="A35" s="13"/>
      <c r="B35" s="13"/>
      <c r="C35" s="13"/>
      <c r="D35" s="13"/>
      <c r="E35" s="13"/>
      <c r="F35" s="13"/>
      <c r="G35" s="13"/>
      <c r="H35" s="14"/>
      <c r="I35" s="13"/>
      <c r="J35" s="13"/>
      <c r="K35" s="15" t="str">
        <f aca="false">IF(A35="","",COUNTIF(Quotes!$C$2:$C$301,A35))</f>
        <v/>
      </c>
      <c r="L35" s="15" t="str">
        <f aca="false">IF(A35="","",K35&gt;0)</f>
        <v/>
      </c>
      <c r="M35" s="15" t="str">
        <f aca="false">IF(A35="","",COUNTIF(Picks!$C$2:$C$301,A35))</f>
        <v/>
      </c>
      <c r="N35" s="17" t="str">
        <f aca="false">IF(A35="","",IF(M35=0,"no wins",K35/M35))</f>
        <v/>
      </c>
      <c r="O35" s="15" t="str">
        <f aca="false">IF(A35="","",COUNTIFS(Picks!$C$2:$C$301,A35,Picks!$H$2:$H$301,"Y"))</f>
        <v/>
      </c>
      <c r="P35" s="8"/>
      <c r="Q35" s="8"/>
    </row>
    <row r="36" customFormat="false" ht="15" hidden="false" customHeight="false" outlineLevel="0" collapsed="false">
      <c r="A36" s="13"/>
      <c r="B36" s="13"/>
      <c r="C36" s="13"/>
      <c r="D36" s="13"/>
      <c r="E36" s="13"/>
      <c r="F36" s="13"/>
      <c r="G36" s="13"/>
      <c r="H36" s="14"/>
      <c r="I36" s="13"/>
      <c r="J36" s="13"/>
      <c r="K36" s="15" t="str">
        <f aca="false">IF(A36="","",COUNTIF(Quotes!$C$2:$C$301,A36))</f>
        <v/>
      </c>
      <c r="L36" s="15" t="str">
        <f aca="false">IF(A36="","",K36&gt;0)</f>
        <v/>
      </c>
      <c r="M36" s="15" t="str">
        <f aca="false">IF(A36="","",COUNTIF(Picks!$C$2:$C$301,A36))</f>
        <v/>
      </c>
      <c r="N36" s="17" t="str">
        <f aca="false">IF(A36="","",IF(M36=0,"no wins",K36/M36))</f>
        <v/>
      </c>
      <c r="O36" s="15" t="str">
        <f aca="false">IF(A36="","",COUNTIFS(Picks!$C$2:$C$301,A36,Picks!$H$2:$H$301,"Y"))</f>
        <v/>
      </c>
      <c r="P36" s="8"/>
      <c r="Q36" s="8"/>
    </row>
    <row r="37" customFormat="false" ht="15" hidden="false" customHeight="false" outlineLevel="0" collapsed="false">
      <c r="A37" s="13"/>
      <c r="B37" s="13"/>
      <c r="C37" s="13"/>
      <c r="D37" s="13"/>
      <c r="E37" s="13"/>
      <c r="F37" s="13"/>
      <c r="G37" s="13"/>
      <c r="H37" s="14"/>
      <c r="I37" s="13"/>
      <c r="J37" s="13"/>
      <c r="K37" s="15" t="str">
        <f aca="false">IF(A37="","",COUNTIF(Quotes!$C$2:$C$301,A37))</f>
        <v/>
      </c>
      <c r="L37" s="15" t="str">
        <f aca="false">IF(A37="","",K37&gt;0)</f>
        <v/>
      </c>
      <c r="M37" s="15" t="str">
        <f aca="false">IF(A37="","",COUNTIF(Picks!$C$2:$C$301,A37))</f>
        <v/>
      </c>
      <c r="N37" s="17" t="str">
        <f aca="false">IF(A37="","",IF(M37=0,"no wins",K37/M37))</f>
        <v/>
      </c>
      <c r="O37" s="15" t="str">
        <f aca="false">IF(A37="","",COUNTIFS(Picks!$C$2:$C$301,A37,Picks!$H$2:$H$301,"Y"))</f>
        <v/>
      </c>
      <c r="P37" s="8"/>
      <c r="Q37" s="8"/>
    </row>
    <row r="38" customFormat="false" ht="15" hidden="false" customHeight="false" outlineLevel="0" collapsed="false">
      <c r="A38" s="13"/>
      <c r="B38" s="13"/>
      <c r="C38" s="13"/>
      <c r="D38" s="13"/>
      <c r="E38" s="13"/>
      <c r="F38" s="13"/>
      <c r="G38" s="13"/>
      <c r="H38" s="14"/>
      <c r="I38" s="13"/>
      <c r="J38" s="13"/>
      <c r="K38" s="15" t="str">
        <f aca="false">IF(A38="","",COUNTIF(Quotes!$C$2:$C$301,A38))</f>
        <v/>
      </c>
      <c r="L38" s="15" t="str">
        <f aca="false">IF(A38="","",K38&gt;0)</f>
        <v/>
      </c>
      <c r="M38" s="15" t="str">
        <f aca="false">IF(A38="","",COUNTIF(Picks!$C$2:$C$301,A38))</f>
        <v/>
      </c>
      <c r="N38" s="17" t="str">
        <f aca="false">IF(A38="","",IF(M38=0,"no wins",K38/M38))</f>
        <v/>
      </c>
      <c r="O38" s="15" t="str">
        <f aca="false">IF(A38="","",COUNTIFS(Picks!$C$2:$C$301,A38,Picks!$H$2:$H$301,"Y"))</f>
        <v/>
      </c>
      <c r="P38" s="8"/>
      <c r="Q38" s="8"/>
    </row>
    <row r="39" customFormat="false" ht="15" hidden="false" customHeight="false" outlineLevel="0" collapsed="false">
      <c r="A39" s="13"/>
      <c r="B39" s="13"/>
      <c r="C39" s="13"/>
      <c r="D39" s="13"/>
      <c r="E39" s="13"/>
      <c r="F39" s="13"/>
      <c r="G39" s="13"/>
      <c r="H39" s="14"/>
      <c r="I39" s="13"/>
      <c r="J39" s="13"/>
      <c r="K39" s="15" t="str">
        <f aca="false">IF(A39="","",COUNTIF(Quotes!$C$2:$C$301,A39))</f>
        <v/>
      </c>
      <c r="L39" s="15" t="str">
        <f aca="false">IF(A39="","",K39&gt;0)</f>
        <v/>
      </c>
      <c r="M39" s="15" t="str">
        <f aca="false">IF(A39="","",COUNTIF(Picks!$C$2:$C$301,A39))</f>
        <v/>
      </c>
      <c r="N39" s="17" t="str">
        <f aca="false">IF(A39="","",IF(M39=0,"no wins",K39/M39))</f>
        <v/>
      </c>
      <c r="O39" s="15" t="str">
        <f aca="false">IF(A39="","",COUNTIFS(Picks!$C$2:$C$301,A39,Picks!$H$2:$H$301,"Y"))</f>
        <v/>
      </c>
      <c r="P39" s="8"/>
      <c r="Q39" s="8"/>
    </row>
    <row r="40" customFormat="false" ht="15" hidden="false" customHeight="false" outlineLevel="0" collapsed="false">
      <c r="A40" s="13"/>
      <c r="B40" s="13"/>
      <c r="C40" s="13"/>
      <c r="D40" s="13"/>
      <c r="E40" s="13"/>
      <c r="F40" s="13"/>
      <c r="G40" s="13"/>
      <c r="H40" s="14"/>
      <c r="I40" s="13"/>
      <c r="J40" s="13"/>
      <c r="K40" s="15" t="str">
        <f aca="false">IF(A40="","",COUNTIF(Quotes!$C$2:$C$301,A40))</f>
        <v/>
      </c>
      <c r="L40" s="15" t="str">
        <f aca="false">IF(A40="","",K40&gt;0)</f>
        <v/>
      </c>
      <c r="M40" s="15" t="str">
        <f aca="false">IF(A40="","",COUNTIF(Picks!$C$2:$C$301,A40))</f>
        <v/>
      </c>
      <c r="N40" s="17" t="str">
        <f aca="false">IF(A40="","",IF(M40=0,"no wins",K40/M40))</f>
        <v/>
      </c>
      <c r="O40" s="15" t="str">
        <f aca="false">IF(A40="","",COUNTIFS(Picks!$C$2:$C$301,A40,Picks!$H$2:$H$301,"Y"))</f>
        <v/>
      </c>
      <c r="P40" s="8"/>
      <c r="Q40" s="8"/>
    </row>
    <row r="41" customFormat="false" ht="15" hidden="false" customHeight="false" outlineLevel="0" collapsed="false">
      <c r="A41" s="13"/>
      <c r="B41" s="13"/>
      <c r="C41" s="13"/>
      <c r="D41" s="13"/>
      <c r="E41" s="13"/>
      <c r="F41" s="13"/>
      <c r="G41" s="13"/>
      <c r="H41" s="14"/>
      <c r="I41" s="13"/>
      <c r="J41" s="13"/>
      <c r="K41" s="15" t="str">
        <f aca="false">IF(A41="","",COUNTIF(Quotes!$C$2:$C$301,A41))</f>
        <v/>
      </c>
      <c r="L41" s="15" t="str">
        <f aca="false">IF(A41="","",K41&gt;0)</f>
        <v/>
      </c>
      <c r="M41" s="15" t="str">
        <f aca="false">IF(A41="","",COUNTIF(Picks!$C$2:$C$301,A41))</f>
        <v/>
      </c>
      <c r="N41" s="17" t="str">
        <f aca="false">IF(A41="","",IF(M41=0,"no wins",K41/M41))</f>
        <v/>
      </c>
      <c r="O41" s="15" t="str">
        <f aca="false">IF(A41="","",COUNTIFS(Picks!$C$2:$C$301,A41,Picks!$H$2:$H$301,"Y"))</f>
        <v/>
      </c>
      <c r="P41" s="8"/>
      <c r="Q41" s="8"/>
    </row>
    <row r="42" customFormat="false" ht="15" hidden="false" customHeight="false" outlineLevel="0" collapsed="false">
      <c r="A42" s="13"/>
      <c r="B42" s="13"/>
      <c r="C42" s="13"/>
      <c r="D42" s="13"/>
      <c r="E42" s="13"/>
      <c r="F42" s="13"/>
      <c r="G42" s="13"/>
      <c r="H42" s="14"/>
      <c r="I42" s="13"/>
      <c r="J42" s="13"/>
      <c r="K42" s="15" t="str">
        <f aca="false">IF(A42="","",COUNTIF(Quotes!$C$2:$C$301,A42))</f>
        <v/>
      </c>
      <c r="L42" s="15" t="str">
        <f aca="false">IF(A42="","",K42&gt;0)</f>
        <v/>
      </c>
      <c r="M42" s="15" t="str">
        <f aca="false">IF(A42="","",COUNTIF(Picks!$C$2:$C$301,A42))</f>
        <v/>
      </c>
      <c r="N42" s="17" t="str">
        <f aca="false">IF(A42="","",IF(M42=0,"no wins",K42/M42))</f>
        <v/>
      </c>
      <c r="O42" s="15" t="str">
        <f aca="false">IF(A42="","",COUNTIFS(Picks!$C$2:$C$301,A42,Picks!$H$2:$H$301,"Y"))</f>
        <v/>
      </c>
      <c r="P42" s="8"/>
      <c r="Q42" s="8"/>
    </row>
    <row r="43" customFormat="false" ht="15" hidden="false" customHeight="false" outlineLevel="0" collapsed="false">
      <c r="A43" s="13"/>
      <c r="B43" s="13"/>
      <c r="C43" s="13"/>
      <c r="D43" s="13"/>
      <c r="E43" s="13"/>
      <c r="F43" s="13"/>
      <c r="G43" s="13"/>
      <c r="H43" s="14"/>
      <c r="I43" s="13"/>
      <c r="J43" s="13"/>
      <c r="K43" s="15" t="str">
        <f aca="false">IF(A43="","",COUNTIF(Quotes!$C$2:$C$301,A43))</f>
        <v/>
      </c>
      <c r="L43" s="15" t="str">
        <f aca="false">IF(A43="","",K43&gt;0)</f>
        <v/>
      </c>
      <c r="M43" s="15" t="str">
        <f aca="false">IF(A43="","",COUNTIF(Picks!$C$2:$C$301,A43))</f>
        <v/>
      </c>
      <c r="N43" s="17" t="str">
        <f aca="false">IF(A43="","",IF(M43=0,"no wins",K43/M43))</f>
        <v/>
      </c>
      <c r="O43" s="15" t="str">
        <f aca="false">IF(A43="","",COUNTIFS(Picks!$C$2:$C$301,A43,Picks!$H$2:$H$301,"Y"))</f>
        <v/>
      </c>
      <c r="P43" s="8"/>
      <c r="Q43" s="8"/>
    </row>
    <row r="44" customFormat="false" ht="15" hidden="false" customHeight="false" outlineLevel="0" collapsed="false">
      <c r="A44" s="13"/>
      <c r="B44" s="13"/>
      <c r="C44" s="13"/>
      <c r="D44" s="13"/>
      <c r="E44" s="13"/>
      <c r="F44" s="13"/>
      <c r="G44" s="13"/>
      <c r="H44" s="14"/>
      <c r="I44" s="13"/>
      <c r="J44" s="13"/>
      <c r="K44" s="15" t="str">
        <f aca="false">IF(A44="","",COUNTIF(Quotes!$C$2:$C$301,A44))</f>
        <v/>
      </c>
      <c r="L44" s="15" t="str">
        <f aca="false">IF(A44="","",K44&gt;0)</f>
        <v/>
      </c>
      <c r="M44" s="15" t="str">
        <f aca="false">IF(A44="","",COUNTIF(Picks!$C$2:$C$301,A44))</f>
        <v/>
      </c>
      <c r="N44" s="17" t="str">
        <f aca="false">IF(A44="","",IF(M44=0,"no wins",K44/M44))</f>
        <v/>
      </c>
      <c r="O44" s="15" t="str">
        <f aca="false">IF(A44="","",COUNTIFS(Picks!$C$2:$C$301,A44,Picks!$H$2:$H$301,"Y"))</f>
        <v/>
      </c>
      <c r="P44" s="8"/>
      <c r="Q44" s="8"/>
    </row>
    <row r="45" customFormat="false" ht="15" hidden="false" customHeight="false" outlineLevel="0" collapsed="false">
      <c r="A45" s="13"/>
      <c r="B45" s="13"/>
      <c r="C45" s="13"/>
      <c r="D45" s="13"/>
      <c r="E45" s="13"/>
      <c r="F45" s="13"/>
      <c r="G45" s="13"/>
      <c r="H45" s="14"/>
      <c r="I45" s="13"/>
      <c r="J45" s="13"/>
      <c r="K45" s="15" t="str">
        <f aca="false">IF(A45="","",COUNTIF(Quotes!$C$2:$C$301,A45))</f>
        <v/>
      </c>
      <c r="L45" s="15" t="str">
        <f aca="false">IF(A45="","",K45&gt;0)</f>
        <v/>
      </c>
      <c r="M45" s="15" t="str">
        <f aca="false">IF(A45="","",COUNTIF(Picks!$C$2:$C$301,A45))</f>
        <v/>
      </c>
      <c r="N45" s="17" t="str">
        <f aca="false">IF(A45="","",IF(M45=0,"no wins",K45/M45))</f>
        <v/>
      </c>
      <c r="O45" s="15" t="str">
        <f aca="false">IF(A45="","",COUNTIFS(Picks!$C$2:$C$301,A45,Picks!$H$2:$H$301,"Y"))</f>
        <v/>
      </c>
      <c r="P45" s="8"/>
      <c r="Q45" s="8"/>
    </row>
    <row r="46" customFormat="false" ht="15" hidden="false" customHeight="false" outlineLevel="0" collapsed="false">
      <c r="A46" s="13"/>
      <c r="B46" s="13"/>
      <c r="C46" s="13"/>
      <c r="D46" s="13"/>
      <c r="E46" s="13"/>
      <c r="F46" s="13"/>
      <c r="G46" s="13"/>
      <c r="H46" s="14"/>
      <c r="I46" s="13"/>
      <c r="J46" s="13"/>
      <c r="K46" s="15" t="str">
        <f aca="false">IF(A46="","",COUNTIF(Quotes!$C$2:$C$301,A46))</f>
        <v/>
      </c>
      <c r="L46" s="15" t="str">
        <f aca="false">IF(A46="","",K46&gt;0)</f>
        <v/>
      </c>
      <c r="M46" s="15" t="str">
        <f aca="false">IF(A46="","",COUNTIF(Picks!$C$2:$C$301,A46))</f>
        <v/>
      </c>
      <c r="N46" s="17" t="str">
        <f aca="false">IF(A46="","",IF(M46=0,"no wins",K46/M46))</f>
        <v/>
      </c>
      <c r="O46" s="15" t="str">
        <f aca="false">IF(A46="","",COUNTIFS(Picks!$C$2:$C$301,A46,Picks!$H$2:$H$301,"Y"))</f>
        <v/>
      </c>
      <c r="P46" s="8"/>
      <c r="Q46" s="8"/>
    </row>
    <row r="47" customFormat="false" ht="15" hidden="false" customHeight="false" outlineLevel="0" collapsed="false">
      <c r="A47" s="13"/>
      <c r="B47" s="13"/>
      <c r="C47" s="13"/>
      <c r="D47" s="13"/>
      <c r="E47" s="13"/>
      <c r="F47" s="13"/>
      <c r="G47" s="13"/>
      <c r="H47" s="14"/>
      <c r="I47" s="13"/>
      <c r="J47" s="13"/>
      <c r="K47" s="15" t="str">
        <f aca="false">IF(A47="","",COUNTIF(Quotes!$C$2:$C$301,A47))</f>
        <v/>
      </c>
      <c r="L47" s="15" t="str">
        <f aca="false">IF(A47="","",K47&gt;0)</f>
        <v/>
      </c>
      <c r="M47" s="15" t="str">
        <f aca="false">IF(A47="","",COUNTIF(Picks!$C$2:$C$301,A47))</f>
        <v/>
      </c>
      <c r="N47" s="17" t="str">
        <f aca="false">IF(A47="","",IF(M47=0,"no wins",K47/M47))</f>
        <v/>
      </c>
      <c r="O47" s="15" t="str">
        <f aca="false">IF(A47="","",COUNTIFS(Picks!$C$2:$C$301,A47,Picks!$H$2:$H$301,"Y"))</f>
        <v/>
      </c>
      <c r="P47" s="8"/>
      <c r="Q47" s="8"/>
    </row>
    <row r="48" customFormat="false" ht="15" hidden="false" customHeight="false" outlineLevel="0" collapsed="false">
      <c r="A48" s="13"/>
      <c r="B48" s="13"/>
      <c r="C48" s="13"/>
      <c r="D48" s="13"/>
      <c r="E48" s="13"/>
      <c r="F48" s="13"/>
      <c r="G48" s="13"/>
      <c r="H48" s="14"/>
      <c r="I48" s="13"/>
      <c r="J48" s="13"/>
      <c r="K48" s="15" t="str">
        <f aca="false">IF(A48="","",COUNTIF(Quotes!$C$2:$C$301,A48))</f>
        <v/>
      </c>
      <c r="L48" s="15" t="str">
        <f aca="false">IF(A48="","",K48&gt;0)</f>
        <v/>
      </c>
      <c r="M48" s="15" t="str">
        <f aca="false">IF(A48="","",COUNTIF(Picks!$C$2:$C$301,A48))</f>
        <v/>
      </c>
      <c r="N48" s="17" t="str">
        <f aca="false">IF(A48="","",IF(M48=0,"no wins",K48/M48))</f>
        <v/>
      </c>
      <c r="O48" s="15" t="str">
        <f aca="false">IF(A48="","",COUNTIFS(Picks!$C$2:$C$301,A48,Picks!$H$2:$H$301,"Y"))</f>
        <v/>
      </c>
      <c r="P48" s="8"/>
      <c r="Q48" s="8"/>
    </row>
    <row r="49" customFormat="false" ht="15" hidden="false" customHeight="false" outlineLevel="0" collapsed="false">
      <c r="A49" s="13"/>
      <c r="B49" s="13"/>
      <c r="C49" s="13"/>
      <c r="D49" s="13"/>
      <c r="E49" s="13"/>
      <c r="F49" s="13"/>
      <c r="G49" s="13"/>
      <c r="H49" s="14"/>
      <c r="I49" s="13"/>
      <c r="J49" s="13"/>
      <c r="K49" s="15" t="str">
        <f aca="false">IF(A49="","",COUNTIF(Quotes!$C$2:$C$301,A49))</f>
        <v/>
      </c>
      <c r="L49" s="15" t="str">
        <f aca="false">IF(A49="","",K49&gt;0)</f>
        <v/>
      </c>
      <c r="M49" s="15" t="str">
        <f aca="false">IF(A49="","",COUNTIF(Picks!$C$2:$C$301,A49))</f>
        <v/>
      </c>
      <c r="N49" s="17" t="str">
        <f aca="false">IF(A49="","",IF(M49=0,"no wins",K49/M49))</f>
        <v/>
      </c>
      <c r="O49" s="15" t="str">
        <f aca="false">IF(A49="","",COUNTIFS(Picks!$C$2:$C$301,A49,Picks!$H$2:$H$301,"Y"))</f>
        <v/>
      </c>
      <c r="P49" s="8"/>
      <c r="Q49" s="8"/>
    </row>
    <row r="50" customFormat="false" ht="15" hidden="false" customHeight="false" outlineLevel="0" collapsed="false">
      <c r="A50" s="13"/>
      <c r="B50" s="13"/>
      <c r="C50" s="13"/>
      <c r="D50" s="13"/>
      <c r="E50" s="13"/>
      <c r="F50" s="13"/>
      <c r="G50" s="13"/>
      <c r="H50" s="14"/>
      <c r="I50" s="13"/>
      <c r="J50" s="13"/>
      <c r="K50" s="15" t="str">
        <f aca="false">IF(A50="","",COUNTIF(Quotes!$C$2:$C$301,A50))</f>
        <v/>
      </c>
      <c r="L50" s="15" t="str">
        <f aca="false">IF(A50="","",K50&gt;0)</f>
        <v/>
      </c>
      <c r="M50" s="15" t="str">
        <f aca="false">IF(A50="","",COUNTIF(Picks!$C$2:$C$301,A50))</f>
        <v/>
      </c>
      <c r="N50" s="17" t="str">
        <f aca="false">IF(A50="","",IF(M50=0,"no wins",K50/M50))</f>
        <v/>
      </c>
      <c r="O50" s="15" t="str">
        <f aca="false">IF(A50="","",COUNTIFS(Picks!$C$2:$C$301,A50,Picks!$H$2:$H$301,"Y"))</f>
        <v/>
      </c>
      <c r="P50" s="8"/>
      <c r="Q50" s="8"/>
    </row>
    <row r="51" customFormat="false" ht="15" hidden="false" customHeight="false" outlineLevel="0" collapsed="false">
      <c r="A51" s="13"/>
      <c r="B51" s="13"/>
      <c r="C51" s="13"/>
      <c r="D51" s="13"/>
      <c r="E51" s="13"/>
      <c r="F51" s="13"/>
      <c r="G51" s="13"/>
      <c r="H51" s="14"/>
      <c r="I51" s="13"/>
      <c r="J51" s="13"/>
      <c r="K51" s="15" t="str">
        <f aca="false">IF(A51="","",COUNTIF(Quotes!$C$2:$C$301,A51))</f>
        <v/>
      </c>
      <c r="L51" s="15" t="str">
        <f aca="false">IF(A51="","",K51&gt;0)</f>
        <v/>
      </c>
      <c r="M51" s="15" t="str">
        <f aca="false">IF(A51="","",COUNTIF(Picks!$C$2:$C$301,A51))</f>
        <v/>
      </c>
      <c r="N51" s="17" t="str">
        <f aca="false">IF(A51="","",IF(M51=0,"no wins",K51/M51))</f>
        <v/>
      </c>
      <c r="O51" s="15" t="str">
        <f aca="false">IF(A51="","",COUNTIFS(Picks!$C$2:$C$301,A51,Picks!$H$2:$H$301,"Y"))</f>
        <v/>
      </c>
      <c r="P51" s="8"/>
      <c r="Q51" s="8"/>
    </row>
    <row r="52" customFormat="false" ht="15" hidden="false" customHeight="false" outlineLevel="0" collapsed="false">
      <c r="A52" s="13"/>
      <c r="B52" s="13"/>
      <c r="C52" s="13"/>
      <c r="D52" s="13"/>
      <c r="E52" s="13"/>
      <c r="F52" s="13"/>
      <c r="G52" s="13"/>
      <c r="H52" s="14"/>
      <c r="I52" s="13"/>
      <c r="J52" s="13"/>
      <c r="K52" s="15" t="str">
        <f aca="false">IF(A52="","",COUNTIF(Quotes!$C$2:$C$301,A52))</f>
        <v/>
      </c>
      <c r="L52" s="15" t="str">
        <f aca="false">IF(A52="","",K52&gt;0)</f>
        <v/>
      </c>
      <c r="M52" s="15" t="str">
        <f aca="false">IF(A52="","",COUNTIF(Picks!$C$2:$C$301,A52))</f>
        <v/>
      </c>
      <c r="N52" s="17" t="str">
        <f aca="false">IF(A52="","",IF(M52=0,"no wins",K52/M52))</f>
        <v/>
      </c>
      <c r="O52" s="15" t="str">
        <f aca="false">IF(A52="","",COUNTIFS(Picks!$C$2:$C$301,A52,Picks!$H$2:$H$301,"Y"))</f>
        <v/>
      </c>
      <c r="P52" s="8"/>
      <c r="Q52" s="8"/>
    </row>
    <row r="53" customFormat="false" ht="15" hidden="false" customHeight="false" outlineLevel="0" collapsed="false">
      <c r="A53" s="13"/>
      <c r="B53" s="13"/>
      <c r="C53" s="13"/>
      <c r="D53" s="13"/>
      <c r="E53" s="13"/>
      <c r="F53" s="13"/>
      <c r="G53" s="13"/>
      <c r="H53" s="14"/>
      <c r="I53" s="13"/>
      <c r="J53" s="13"/>
      <c r="K53" s="15" t="str">
        <f aca="false">IF(A53="","",COUNTIF(Quotes!$C$2:$C$301,A53))</f>
        <v/>
      </c>
      <c r="L53" s="15" t="str">
        <f aca="false">IF(A53="","",K53&gt;0)</f>
        <v/>
      </c>
      <c r="M53" s="15" t="str">
        <f aca="false">IF(A53="","",COUNTIF(Picks!$C$2:$C$301,A53))</f>
        <v/>
      </c>
      <c r="N53" s="17" t="str">
        <f aca="false">IF(A53="","",IF(M53=0,"no wins",K53/M53))</f>
        <v/>
      </c>
      <c r="O53" s="15" t="str">
        <f aca="false">IF(A53="","",COUNTIFS(Picks!$C$2:$C$301,A53,Picks!$H$2:$H$301,"Y"))</f>
        <v/>
      </c>
      <c r="P53" s="8"/>
      <c r="Q53" s="8"/>
    </row>
    <row r="54" customFormat="false" ht="15" hidden="false" customHeight="false" outlineLevel="0" collapsed="false">
      <c r="A54" s="13"/>
      <c r="B54" s="13"/>
      <c r="C54" s="13"/>
      <c r="D54" s="13"/>
      <c r="E54" s="13"/>
      <c r="F54" s="13"/>
      <c r="G54" s="13"/>
      <c r="H54" s="14"/>
      <c r="I54" s="13"/>
      <c r="J54" s="13"/>
      <c r="K54" s="15" t="str">
        <f aca="false">IF(A54="","",COUNTIF(Quotes!$C$2:$C$301,A54))</f>
        <v/>
      </c>
      <c r="L54" s="15" t="str">
        <f aca="false">IF(A54="","",K54&gt;0)</f>
        <v/>
      </c>
      <c r="M54" s="15" t="str">
        <f aca="false">IF(A54="","",COUNTIF(Picks!$C$2:$C$301,A54))</f>
        <v/>
      </c>
      <c r="N54" s="17" t="str">
        <f aca="false">IF(A54="","",IF(M54=0,"no wins",K54/M54))</f>
        <v/>
      </c>
      <c r="O54" s="15" t="str">
        <f aca="false">IF(A54="","",COUNTIFS(Picks!$C$2:$C$301,A54,Picks!$H$2:$H$301,"Y"))</f>
        <v/>
      </c>
      <c r="P54" s="8"/>
      <c r="Q54" s="8"/>
    </row>
    <row r="55" customFormat="false" ht="15" hidden="false" customHeight="false" outlineLevel="0" collapsed="false">
      <c r="A55" s="13"/>
      <c r="B55" s="13"/>
      <c r="C55" s="13"/>
      <c r="D55" s="13"/>
      <c r="E55" s="13"/>
      <c r="F55" s="13"/>
      <c r="G55" s="13"/>
      <c r="H55" s="14"/>
      <c r="I55" s="13"/>
      <c r="J55" s="13"/>
      <c r="K55" s="15" t="str">
        <f aca="false">IF(A55="","",COUNTIF(Quotes!$C$2:$C$301,A55))</f>
        <v/>
      </c>
      <c r="L55" s="15" t="str">
        <f aca="false">IF(A55="","",K55&gt;0)</f>
        <v/>
      </c>
      <c r="M55" s="15" t="str">
        <f aca="false">IF(A55="","",COUNTIF(Picks!$C$2:$C$301,A55))</f>
        <v/>
      </c>
      <c r="N55" s="17" t="str">
        <f aca="false">IF(A55="","",IF(M55=0,"no wins",K55/M55))</f>
        <v/>
      </c>
      <c r="O55" s="15" t="str">
        <f aca="false">IF(A55="","",COUNTIFS(Picks!$C$2:$C$301,A55,Picks!$H$2:$H$301,"Y"))</f>
        <v/>
      </c>
      <c r="P55" s="8"/>
      <c r="Q55" s="8"/>
    </row>
    <row r="56" customFormat="false" ht="15" hidden="false" customHeight="false" outlineLevel="0" collapsed="false">
      <c r="A56" s="13"/>
      <c r="B56" s="13"/>
      <c r="C56" s="13"/>
      <c r="D56" s="13"/>
      <c r="E56" s="13"/>
      <c r="F56" s="13"/>
      <c r="G56" s="13"/>
      <c r="H56" s="14"/>
      <c r="I56" s="13"/>
      <c r="J56" s="13"/>
      <c r="K56" s="15" t="str">
        <f aca="false">IF(A56="","",COUNTIF(Quotes!$C$2:$C$301,A56))</f>
        <v/>
      </c>
      <c r="L56" s="15" t="str">
        <f aca="false">IF(A56="","",K56&gt;0)</f>
        <v/>
      </c>
      <c r="M56" s="15" t="str">
        <f aca="false">IF(A56="","",COUNTIF(Picks!$C$2:$C$301,A56))</f>
        <v/>
      </c>
      <c r="N56" s="17" t="str">
        <f aca="false">IF(A56="","",IF(M56=0,"no wins",K56/M56))</f>
        <v/>
      </c>
      <c r="O56" s="15" t="str">
        <f aca="false">IF(A56="","",COUNTIFS(Picks!$C$2:$C$301,A56,Picks!$H$2:$H$301,"Y"))</f>
        <v/>
      </c>
      <c r="P56" s="8"/>
      <c r="Q56" s="8"/>
    </row>
    <row r="57" customFormat="false" ht="15" hidden="false" customHeight="false" outlineLevel="0" collapsed="false">
      <c r="A57" s="13"/>
      <c r="B57" s="13"/>
      <c r="C57" s="13"/>
      <c r="D57" s="13"/>
      <c r="E57" s="13"/>
      <c r="F57" s="13"/>
      <c r="G57" s="13"/>
      <c r="H57" s="14"/>
      <c r="I57" s="13"/>
      <c r="J57" s="13"/>
      <c r="K57" s="15" t="str">
        <f aca="false">IF(A57="","",COUNTIF(Quotes!$C$2:$C$301,A57))</f>
        <v/>
      </c>
      <c r="L57" s="15" t="str">
        <f aca="false">IF(A57="","",K57&gt;0)</f>
        <v/>
      </c>
      <c r="M57" s="15" t="str">
        <f aca="false">IF(A57="","",COUNTIF(Picks!$C$2:$C$301,A57))</f>
        <v/>
      </c>
      <c r="N57" s="17" t="str">
        <f aca="false">IF(A57="","",IF(M57=0,"no wins",K57/M57))</f>
        <v/>
      </c>
      <c r="O57" s="15" t="str">
        <f aca="false">IF(A57="","",COUNTIFS(Picks!$C$2:$C$301,A57,Picks!$H$2:$H$301,"Y"))</f>
        <v/>
      </c>
      <c r="P57" s="8"/>
      <c r="Q57" s="8"/>
    </row>
    <row r="58" customFormat="false" ht="15" hidden="false" customHeight="false" outlineLevel="0" collapsed="false">
      <c r="A58" s="13"/>
      <c r="B58" s="13"/>
      <c r="C58" s="13"/>
      <c r="D58" s="13"/>
      <c r="E58" s="13"/>
      <c r="F58" s="13"/>
      <c r="G58" s="13"/>
      <c r="H58" s="14"/>
      <c r="I58" s="13"/>
      <c r="J58" s="13"/>
      <c r="K58" s="15" t="str">
        <f aca="false">IF(A58="","",COUNTIF(Quotes!$C$2:$C$301,A58))</f>
        <v/>
      </c>
      <c r="L58" s="15" t="str">
        <f aca="false">IF(A58="","",K58&gt;0)</f>
        <v/>
      </c>
      <c r="M58" s="15" t="str">
        <f aca="false">IF(A58="","",COUNTIF(Picks!$C$2:$C$301,A58))</f>
        <v/>
      </c>
      <c r="N58" s="17" t="str">
        <f aca="false">IF(A58="","",IF(M58=0,"no wins",K58/M58))</f>
        <v/>
      </c>
      <c r="O58" s="15" t="str">
        <f aca="false">IF(A58="","",COUNTIFS(Picks!$C$2:$C$301,A58,Picks!$H$2:$H$301,"Y"))</f>
        <v/>
      </c>
      <c r="P58" s="8"/>
      <c r="Q58" s="8"/>
    </row>
    <row r="59" customFormat="false" ht="15" hidden="false" customHeight="false" outlineLevel="0" collapsed="false">
      <c r="A59" s="13"/>
      <c r="B59" s="13"/>
      <c r="C59" s="13"/>
      <c r="D59" s="13"/>
      <c r="E59" s="13"/>
      <c r="F59" s="13"/>
      <c r="G59" s="13"/>
      <c r="H59" s="14"/>
      <c r="I59" s="13"/>
      <c r="J59" s="13"/>
      <c r="K59" s="15" t="str">
        <f aca="false">IF(A59="","",COUNTIF(Quotes!$C$2:$C$301,A59))</f>
        <v/>
      </c>
      <c r="L59" s="15" t="str">
        <f aca="false">IF(A59="","",K59&gt;0)</f>
        <v/>
      </c>
      <c r="M59" s="15" t="str">
        <f aca="false">IF(A59="","",COUNTIF(Picks!$C$2:$C$301,A59))</f>
        <v/>
      </c>
      <c r="N59" s="17" t="str">
        <f aca="false">IF(A59="","",IF(M59=0,"no wins",K59/M59))</f>
        <v/>
      </c>
      <c r="O59" s="15" t="str">
        <f aca="false">IF(A59="","",COUNTIFS(Picks!$C$2:$C$301,A59,Picks!$H$2:$H$301,"Y"))</f>
        <v/>
      </c>
      <c r="P59" s="8"/>
      <c r="Q59" s="8"/>
    </row>
    <row r="60" customFormat="false" ht="15" hidden="false" customHeight="false" outlineLevel="0" collapsed="false">
      <c r="A60" s="13"/>
      <c r="B60" s="13"/>
      <c r="C60" s="13"/>
      <c r="D60" s="13"/>
      <c r="E60" s="13"/>
      <c r="F60" s="13"/>
      <c r="G60" s="13"/>
      <c r="H60" s="14"/>
      <c r="I60" s="13"/>
      <c r="J60" s="13"/>
      <c r="K60" s="15" t="str">
        <f aca="false">IF(A60="","",COUNTIF(Quotes!$C$2:$C$301,A60))</f>
        <v/>
      </c>
      <c r="L60" s="15" t="str">
        <f aca="false">IF(A60="","",K60&gt;0)</f>
        <v/>
      </c>
      <c r="M60" s="15" t="str">
        <f aca="false">IF(A60="","",COUNTIF(Picks!$C$2:$C$301,A60))</f>
        <v/>
      </c>
      <c r="N60" s="17" t="str">
        <f aca="false">IF(A60="","",IF(M60=0,"no wins",K60/M60))</f>
        <v/>
      </c>
      <c r="O60" s="15" t="str">
        <f aca="false">IF(A60="","",COUNTIFS(Picks!$C$2:$C$301,A60,Picks!$H$2:$H$301,"Y"))</f>
        <v/>
      </c>
      <c r="P60" s="8"/>
      <c r="Q60" s="8"/>
    </row>
    <row r="61" customFormat="false" ht="15" hidden="false" customHeight="false" outlineLevel="0" collapsed="false">
      <c r="A61" s="13"/>
      <c r="B61" s="13"/>
      <c r="C61" s="13"/>
      <c r="D61" s="13"/>
      <c r="E61" s="13"/>
      <c r="F61" s="13"/>
      <c r="G61" s="13"/>
      <c r="H61" s="14"/>
      <c r="I61" s="13"/>
      <c r="J61" s="13"/>
      <c r="K61" s="15" t="str">
        <f aca="false">IF(A61="","",COUNTIF(Quotes!$C$2:$C$301,A61))</f>
        <v/>
      </c>
      <c r="L61" s="15" t="str">
        <f aca="false">IF(A61="","",K61&gt;0)</f>
        <v/>
      </c>
      <c r="M61" s="15" t="str">
        <f aca="false">IF(A61="","",COUNTIF(Picks!$C$2:$C$301,A61))</f>
        <v/>
      </c>
      <c r="N61" s="17" t="str">
        <f aca="false">IF(A61="","",IF(M61=0,"no wins",K61/M61))</f>
        <v/>
      </c>
      <c r="O61" s="15" t="str">
        <f aca="false">IF(A61="","",COUNTIFS(Picks!$C$2:$C$301,A61,Picks!$H$2:$H$301,"Y"))</f>
        <v/>
      </c>
      <c r="P61" s="8"/>
      <c r="Q61" s="8"/>
    </row>
    <row r="62" customFormat="false" ht="15" hidden="false" customHeight="false" outlineLevel="0" collapsed="false">
      <c r="A62" s="13"/>
      <c r="B62" s="13"/>
      <c r="C62" s="13"/>
      <c r="D62" s="13"/>
      <c r="E62" s="13"/>
      <c r="F62" s="13"/>
      <c r="G62" s="13"/>
      <c r="H62" s="14"/>
      <c r="I62" s="13"/>
      <c r="J62" s="13"/>
      <c r="K62" s="15" t="str">
        <f aca="false">IF(A62="","",COUNTIF(Quotes!$C$2:$C$301,A62))</f>
        <v/>
      </c>
      <c r="L62" s="15" t="str">
        <f aca="false">IF(A62="","",K62&gt;0)</f>
        <v/>
      </c>
      <c r="M62" s="15" t="str">
        <f aca="false">IF(A62="","",COUNTIF(Picks!$C$2:$C$301,A62))</f>
        <v/>
      </c>
      <c r="N62" s="17" t="str">
        <f aca="false">IF(A62="","",IF(M62=0,"no wins",K62/M62))</f>
        <v/>
      </c>
      <c r="O62" s="15" t="str">
        <f aca="false">IF(A62="","",COUNTIFS(Picks!$C$2:$C$301,A62,Picks!$H$2:$H$301,"Y"))</f>
        <v/>
      </c>
      <c r="P62" s="8"/>
      <c r="Q62" s="8"/>
    </row>
    <row r="63" customFormat="false" ht="15" hidden="false" customHeight="false" outlineLevel="0" collapsed="false">
      <c r="A63" s="13"/>
      <c r="B63" s="13"/>
      <c r="C63" s="13"/>
      <c r="D63" s="13"/>
      <c r="E63" s="13"/>
      <c r="F63" s="13"/>
      <c r="G63" s="13"/>
      <c r="H63" s="14"/>
      <c r="I63" s="13"/>
      <c r="J63" s="13"/>
      <c r="K63" s="15" t="str">
        <f aca="false">IF(A63="","",COUNTIF(Quotes!$C$2:$C$301,A63))</f>
        <v/>
      </c>
      <c r="L63" s="15" t="str">
        <f aca="false">IF(A63="","",K63&gt;0)</f>
        <v/>
      </c>
      <c r="M63" s="15" t="str">
        <f aca="false">IF(A63="","",COUNTIF(Picks!$C$2:$C$301,A63))</f>
        <v/>
      </c>
      <c r="N63" s="17" t="str">
        <f aca="false">IF(A63="","",IF(M63=0,"no wins",K63/M63))</f>
        <v/>
      </c>
      <c r="O63" s="15" t="str">
        <f aca="false">IF(A63="","",COUNTIFS(Picks!$C$2:$C$301,A63,Picks!$H$2:$H$301,"Y"))</f>
        <v/>
      </c>
      <c r="P63" s="8"/>
      <c r="Q63" s="8"/>
    </row>
    <row r="64" customFormat="false" ht="15" hidden="false" customHeight="false" outlineLevel="0" collapsed="false">
      <c r="A64" s="13"/>
      <c r="B64" s="13"/>
      <c r="C64" s="13"/>
      <c r="D64" s="13"/>
      <c r="E64" s="13"/>
      <c r="F64" s="13"/>
      <c r="G64" s="13"/>
      <c r="H64" s="14"/>
      <c r="I64" s="13"/>
      <c r="J64" s="13"/>
      <c r="K64" s="15" t="str">
        <f aca="false">IF(A64="","",COUNTIF(Quotes!$C$2:$C$301,A64))</f>
        <v/>
      </c>
      <c r="L64" s="15" t="str">
        <f aca="false">IF(A64="","",K64&gt;0)</f>
        <v/>
      </c>
      <c r="M64" s="15" t="str">
        <f aca="false">IF(A64="","",COUNTIF(Picks!$C$2:$C$301,A64))</f>
        <v/>
      </c>
      <c r="N64" s="17" t="str">
        <f aca="false">IF(A64="","",IF(M64=0,"no wins",K64/M64))</f>
        <v/>
      </c>
      <c r="O64" s="15" t="str">
        <f aca="false">IF(A64="","",COUNTIFS(Picks!$C$2:$C$301,A64,Picks!$H$2:$H$301,"Y"))</f>
        <v/>
      </c>
      <c r="P64" s="8"/>
      <c r="Q64" s="8"/>
    </row>
    <row r="65" customFormat="false" ht="15" hidden="false" customHeight="false" outlineLevel="0" collapsed="false">
      <c r="A65" s="13"/>
      <c r="B65" s="13"/>
      <c r="C65" s="13"/>
      <c r="D65" s="13"/>
      <c r="E65" s="13"/>
      <c r="F65" s="13"/>
      <c r="G65" s="13"/>
      <c r="H65" s="14"/>
      <c r="I65" s="13"/>
      <c r="J65" s="13"/>
      <c r="K65" s="15" t="str">
        <f aca="false">IF(A65="","",COUNTIF(Quotes!$C$2:$C$301,A65))</f>
        <v/>
      </c>
      <c r="L65" s="15" t="str">
        <f aca="false">IF(A65="","",K65&gt;0)</f>
        <v/>
      </c>
      <c r="M65" s="15" t="str">
        <f aca="false">IF(A65="","",COUNTIF(Picks!$C$2:$C$301,A65))</f>
        <v/>
      </c>
      <c r="N65" s="17" t="str">
        <f aca="false">IF(A65="","",IF(M65=0,"no wins",K65/M65))</f>
        <v/>
      </c>
      <c r="O65" s="15" t="str">
        <f aca="false">IF(A65="","",COUNTIFS(Picks!$C$2:$C$301,A65,Picks!$H$2:$H$301,"Y"))</f>
        <v/>
      </c>
      <c r="P65" s="8"/>
      <c r="Q65" s="8"/>
    </row>
    <row r="66" customFormat="false" ht="15" hidden="false" customHeight="false" outlineLevel="0" collapsed="false">
      <c r="A66" s="13"/>
      <c r="B66" s="13"/>
      <c r="C66" s="13"/>
      <c r="D66" s="13"/>
      <c r="E66" s="13"/>
      <c r="F66" s="13"/>
      <c r="G66" s="13"/>
      <c r="H66" s="14"/>
      <c r="I66" s="13"/>
      <c r="J66" s="13"/>
      <c r="K66" s="15" t="str">
        <f aca="false">IF(A66="","",COUNTIF(Quotes!$C$2:$C$301,A66))</f>
        <v/>
      </c>
      <c r="L66" s="15" t="str">
        <f aca="false">IF(A66="","",K66&gt;0)</f>
        <v/>
      </c>
      <c r="M66" s="15" t="str">
        <f aca="false">IF(A66="","",COUNTIF(Picks!$C$2:$C$301,A66))</f>
        <v/>
      </c>
      <c r="N66" s="17" t="str">
        <f aca="false">IF(A66="","",IF(M66=0,"no wins",K66/M66))</f>
        <v/>
      </c>
      <c r="O66" s="15" t="str">
        <f aca="false">IF(A66="","",COUNTIFS(Picks!$C$2:$C$301,A66,Picks!$H$2:$H$301,"Y"))</f>
        <v/>
      </c>
      <c r="P66" s="8"/>
      <c r="Q66" s="8"/>
    </row>
    <row r="67" customFormat="false" ht="15" hidden="false" customHeight="false" outlineLevel="0" collapsed="false">
      <c r="A67" s="13"/>
      <c r="B67" s="13"/>
      <c r="C67" s="13"/>
      <c r="D67" s="13"/>
      <c r="E67" s="13"/>
      <c r="F67" s="13"/>
      <c r="G67" s="13"/>
      <c r="H67" s="14"/>
      <c r="I67" s="13"/>
      <c r="J67" s="13"/>
      <c r="K67" s="15" t="str">
        <f aca="false">IF(A67="","",COUNTIF(Quotes!$C$2:$C$301,A67))</f>
        <v/>
      </c>
      <c r="L67" s="15" t="str">
        <f aca="false">IF(A67="","",K67&gt;0)</f>
        <v/>
      </c>
      <c r="M67" s="15" t="str">
        <f aca="false">IF(A67="","",COUNTIF(Picks!$C$2:$C$301,A67))</f>
        <v/>
      </c>
      <c r="N67" s="17" t="str">
        <f aca="false">IF(A67="","",IF(M67=0,"no wins",K67/M67))</f>
        <v/>
      </c>
      <c r="O67" s="15" t="str">
        <f aca="false">IF(A67="","",COUNTIFS(Picks!$C$2:$C$301,A67,Picks!$H$2:$H$301,"Y"))</f>
        <v/>
      </c>
      <c r="P67" s="8"/>
      <c r="Q67" s="8"/>
    </row>
    <row r="68" customFormat="false" ht="15" hidden="false" customHeight="false" outlineLevel="0" collapsed="false">
      <c r="A68" s="13"/>
      <c r="B68" s="13"/>
      <c r="C68" s="13"/>
      <c r="D68" s="13"/>
      <c r="E68" s="13"/>
      <c r="F68" s="13"/>
      <c r="G68" s="13"/>
      <c r="H68" s="14"/>
      <c r="I68" s="13"/>
      <c r="J68" s="13"/>
      <c r="K68" s="15" t="str">
        <f aca="false">IF(A68="","",COUNTIF(Quotes!$C$2:$C$301,A68))</f>
        <v/>
      </c>
      <c r="L68" s="15" t="str">
        <f aca="false">IF(A68="","",K68&gt;0)</f>
        <v/>
      </c>
      <c r="M68" s="15" t="str">
        <f aca="false">IF(A68="","",COUNTIF(Picks!$C$2:$C$301,A68))</f>
        <v/>
      </c>
      <c r="N68" s="17" t="str">
        <f aca="false">IF(A68="","",IF(M68=0,"no wins",K68/M68))</f>
        <v/>
      </c>
      <c r="O68" s="15" t="str">
        <f aca="false">IF(A68="","",COUNTIFS(Picks!$C$2:$C$301,A68,Picks!$H$2:$H$301,"Y"))</f>
        <v/>
      </c>
      <c r="P68" s="8"/>
      <c r="Q68" s="8"/>
    </row>
    <row r="69" customFormat="false" ht="15" hidden="false" customHeight="false" outlineLevel="0" collapsed="false">
      <c r="A69" s="13"/>
      <c r="B69" s="13"/>
      <c r="C69" s="13"/>
      <c r="D69" s="13"/>
      <c r="E69" s="13"/>
      <c r="F69" s="13"/>
      <c r="G69" s="13"/>
      <c r="H69" s="14"/>
      <c r="I69" s="13"/>
      <c r="J69" s="13"/>
      <c r="K69" s="15" t="str">
        <f aca="false">IF(A69="","",COUNTIF(Quotes!$C$2:$C$301,A69))</f>
        <v/>
      </c>
      <c r="L69" s="15" t="str">
        <f aca="false">IF(A69="","",K69&gt;0)</f>
        <v/>
      </c>
      <c r="M69" s="15" t="str">
        <f aca="false">IF(A69="","",COUNTIF(Picks!$C$2:$C$301,A69))</f>
        <v/>
      </c>
      <c r="N69" s="17" t="str">
        <f aca="false">IF(A69="","",IF(M69=0,"no wins",K69/M69))</f>
        <v/>
      </c>
      <c r="O69" s="15" t="str">
        <f aca="false">IF(A69="","",COUNTIFS(Picks!$C$2:$C$301,A69,Picks!$H$2:$H$301,"Y"))</f>
        <v/>
      </c>
      <c r="P69" s="8"/>
      <c r="Q69" s="8"/>
    </row>
    <row r="70" customFormat="false" ht="15" hidden="false" customHeight="false" outlineLevel="0" collapsed="false">
      <c r="A70" s="13"/>
      <c r="B70" s="13"/>
      <c r="C70" s="13"/>
      <c r="D70" s="13"/>
      <c r="E70" s="13"/>
      <c r="F70" s="13"/>
      <c r="G70" s="13"/>
      <c r="H70" s="14"/>
      <c r="I70" s="13"/>
      <c r="J70" s="13"/>
      <c r="K70" s="15" t="str">
        <f aca="false">IF(A70="","",COUNTIF(Quotes!$C$2:$C$301,A70))</f>
        <v/>
      </c>
      <c r="L70" s="15" t="str">
        <f aca="false">IF(A70="","",K70&gt;0)</f>
        <v/>
      </c>
      <c r="M70" s="15" t="str">
        <f aca="false">IF(A70="","",COUNTIF(Picks!$C$2:$C$301,A70))</f>
        <v/>
      </c>
      <c r="N70" s="17" t="str">
        <f aca="false">IF(A70="","",IF(M70=0,"no wins",K70/M70))</f>
        <v/>
      </c>
      <c r="O70" s="15" t="str">
        <f aca="false">IF(A70="","",COUNTIFS(Picks!$C$2:$C$301,A70,Picks!$H$2:$H$301,"Y"))</f>
        <v/>
      </c>
      <c r="P70" s="8"/>
      <c r="Q70" s="8"/>
    </row>
    <row r="71" customFormat="false" ht="15" hidden="false" customHeight="false" outlineLevel="0" collapsed="false">
      <c r="A71" s="13"/>
      <c r="B71" s="13"/>
      <c r="C71" s="13"/>
      <c r="D71" s="13"/>
      <c r="E71" s="13"/>
      <c r="F71" s="13"/>
      <c r="G71" s="13"/>
      <c r="H71" s="14"/>
      <c r="I71" s="13"/>
      <c r="J71" s="13"/>
      <c r="K71" s="15" t="str">
        <f aca="false">IF(A71="","",COUNTIF(Quotes!$C$2:$C$301,A71))</f>
        <v/>
      </c>
      <c r="L71" s="15" t="str">
        <f aca="false">IF(A71="","",K71&gt;0)</f>
        <v/>
      </c>
      <c r="M71" s="15" t="str">
        <f aca="false">IF(A71="","",COUNTIF(Picks!$C$2:$C$301,A71))</f>
        <v/>
      </c>
      <c r="N71" s="17" t="str">
        <f aca="false">IF(A71="","",IF(M71=0,"no wins",K71/M71))</f>
        <v/>
      </c>
      <c r="O71" s="15" t="str">
        <f aca="false">IF(A71="","",COUNTIFS(Picks!$C$2:$C$301,A71,Picks!$H$2:$H$301,"Y"))</f>
        <v/>
      </c>
      <c r="P71" s="8"/>
      <c r="Q71" s="8"/>
    </row>
    <row r="72" customFormat="false" ht="15" hidden="false" customHeight="false" outlineLevel="0" collapsed="false">
      <c r="A72" s="13"/>
      <c r="B72" s="13"/>
      <c r="C72" s="13"/>
      <c r="D72" s="13"/>
      <c r="E72" s="13"/>
      <c r="F72" s="13"/>
      <c r="G72" s="13"/>
      <c r="H72" s="14"/>
      <c r="I72" s="13"/>
      <c r="J72" s="13"/>
      <c r="K72" s="15" t="str">
        <f aca="false">IF(A72="","",COUNTIF(Quotes!$C$2:$C$301,A72))</f>
        <v/>
      </c>
      <c r="L72" s="15" t="str">
        <f aca="false">IF(A72="","",K72&gt;0)</f>
        <v/>
      </c>
      <c r="M72" s="15" t="str">
        <f aca="false">IF(A72="","",COUNTIF(Picks!$C$2:$C$301,A72))</f>
        <v/>
      </c>
      <c r="N72" s="17" t="str">
        <f aca="false">IF(A72="","",IF(M72=0,"no wins",K72/M72))</f>
        <v/>
      </c>
      <c r="O72" s="15" t="str">
        <f aca="false">IF(A72="","",COUNTIFS(Picks!$C$2:$C$301,A72,Picks!$H$2:$H$301,"Y"))</f>
        <v/>
      </c>
      <c r="P72" s="8"/>
      <c r="Q72" s="8"/>
    </row>
    <row r="73" customFormat="false" ht="15" hidden="false" customHeight="false" outlineLevel="0" collapsed="false">
      <c r="A73" s="13"/>
      <c r="B73" s="13"/>
      <c r="C73" s="13"/>
      <c r="D73" s="13"/>
      <c r="E73" s="13"/>
      <c r="F73" s="13"/>
      <c r="G73" s="13"/>
      <c r="H73" s="14"/>
      <c r="I73" s="13"/>
      <c r="J73" s="13"/>
      <c r="K73" s="15" t="str">
        <f aca="false">IF(A73="","",COUNTIF(Quotes!$C$2:$C$301,A73))</f>
        <v/>
      </c>
      <c r="L73" s="15" t="str">
        <f aca="false">IF(A73="","",K73&gt;0)</f>
        <v/>
      </c>
      <c r="M73" s="15" t="str">
        <f aca="false">IF(A73="","",COUNTIF(Picks!$C$2:$C$301,A73))</f>
        <v/>
      </c>
      <c r="N73" s="17" t="str">
        <f aca="false">IF(A73="","",IF(M73=0,"no wins",K73/M73))</f>
        <v/>
      </c>
      <c r="O73" s="15" t="str">
        <f aca="false">IF(A73="","",COUNTIFS(Picks!$C$2:$C$301,A73,Picks!$H$2:$H$301,"Y"))</f>
        <v/>
      </c>
      <c r="P73" s="8"/>
      <c r="Q73" s="8"/>
    </row>
    <row r="74" customFormat="false" ht="15" hidden="false" customHeight="false" outlineLevel="0" collapsed="false">
      <c r="A74" s="13"/>
      <c r="B74" s="13"/>
      <c r="C74" s="13"/>
      <c r="D74" s="13"/>
      <c r="E74" s="13"/>
      <c r="F74" s="13"/>
      <c r="G74" s="13"/>
      <c r="H74" s="14"/>
      <c r="I74" s="13"/>
      <c r="J74" s="13"/>
      <c r="K74" s="15" t="str">
        <f aca="false">IF(A74="","",COUNTIF(Quotes!$C$2:$C$301,A74))</f>
        <v/>
      </c>
      <c r="L74" s="15" t="str">
        <f aca="false">IF(A74="","",K74&gt;0)</f>
        <v/>
      </c>
      <c r="M74" s="15" t="str">
        <f aca="false">IF(A74="","",COUNTIF(Picks!$C$2:$C$301,A74))</f>
        <v/>
      </c>
      <c r="N74" s="17" t="str">
        <f aca="false">IF(A74="","",IF(M74=0,"no wins",K74/M74))</f>
        <v/>
      </c>
      <c r="O74" s="15" t="str">
        <f aca="false">IF(A74="","",COUNTIFS(Picks!$C$2:$C$301,A74,Picks!$H$2:$H$301,"Y"))</f>
        <v/>
      </c>
      <c r="P74" s="8"/>
      <c r="Q74" s="8"/>
    </row>
    <row r="75" customFormat="false" ht="15" hidden="false" customHeight="false" outlineLevel="0" collapsed="false">
      <c r="A75" s="13"/>
      <c r="B75" s="13"/>
      <c r="C75" s="13"/>
      <c r="D75" s="13"/>
      <c r="E75" s="13"/>
      <c r="F75" s="13"/>
      <c r="G75" s="13"/>
      <c r="H75" s="14"/>
      <c r="I75" s="13"/>
      <c r="J75" s="13"/>
      <c r="K75" s="15" t="str">
        <f aca="false">IF(A75="","",COUNTIF(Quotes!$C$2:$C$301,A75))</f>
        <v/>
      </c>
      <c r="L75" s="15" t="str">
        <f aca="false">IF(A75="","",K75&gt;0)</f>
        <v/>
      </c>
      <c r="M75" s="15" t="str">
        <f aca="false">IF(A75="","",COUNTIF(Picks!$C$2:$C$301,A75))</f>
        <v/>
      </c>
      <c r="N75" s="17" t="str">
        <f aca="false">IF(A75="","",IF(M75=0,"no wins",K75/M75))</f>
        <v/>
      </c>
      <c r="O75" s="15" t="str">
        <f aca="false">IF(A75="","",COUNTIFS(Picks!$C$2:$C$301,A75,Picks!$H$2:$H$301,"Y"))</f>
        <v/>
      </c>
      <c r="P75" s="8"/>
      <c r="Q75" s="8"/>
    </row>
    <row r="76" customFormat="false" ht="15" hidden="false" customHeight="false" outlineLevel="0" collapsed="false">
      <c r="A76" s="13"/>
      <c r="B76" s="13"/>
      <c r="C76" s="13"/>
      <c r="D76" s="13"/>
      <c r="E76" s="13"/>
      <c r="F76" s="13"/>
      <c r="G76" s="13"/>
      <c r="H76" s="14"/>
      <c r="I76" s="13"/>
      <c r="J76" s="13"/>
      <c r="K76" s="15" t="str">
        <f aca="false">IF(A76="","",COUNTIF(Quotes!$C$2:$C$301,A76))</f>
        <v/>
      </c>
      <c r="L76" s="15" t="str">
        <f aca="false">IF(A76="","",K76&gt;0)</f>
        <v/>
      </c>
      <c r="M76" s="15" t="str">
        <f aca="false">IF(A76="","",COUNTIF(Picks!$C$2:$C$301,A76))</f>
        <v/>
      </c>
      <c r="N76" s="17" t="str">
        <f aca="false">IF(A76="","",IF(M76=0,"no wins",K76/M76))</f>
        <v/>
      </c>
      <c r="O76" s="15" t="str">
        <f aca="false">IF(A76="","",COUNTIFS(Picks!$C$2:$C$301,A76,Picks!$H$2:$H$301,"Y"))</f>
        <v/>
      </c>
      <c r="P76" s="8"/>
      <c r="Q76" s="8"/>
    </row>
    <row r="77" customFormat="false" ht="15" hidden="false" customHeight="false" outlineLevel="0" collapsed="false">
      <c r="A77" s="13"/>
      <c r="B77" s="13"/>
      <c r="C77" s="13"/>
      <c r="D77" s="13"/>
      <c r="E77" s="13"/>
      <c r="F77" s="13"/>
      <c r="G77" s="13"/>
      <c r="H77" s="14"/>
      <c r="I77" s="13"/>
      <c r="J77" s="13"/>
      <c r="K77" s="15" t="str">
        <f aca="false">IF(A77="","",COUNTIF(Quotes!$C$2:$C$301,A77))</f>
        <v/>
      </c>
      <c r="L77" s="15" t="str">
        <f aca="false">IF(A77="","",K77&gt;0)</f>
        <v/>
      </c>
      <c r="M77" s="15" t="str">
        <f aca="false">IF(A77="","",COUNTIF(Picks!$C$2:$C$301,A77))</f>
        <v/>
      </c>
      <c r="N77" s="17" t="str">
        <f aca="false">IF(A77="","",IF(M77=0,"no wins",K77/M77))</f>
        <v/>
      </c>
      <c r="O77" s="15" t="str">
        <f aca="false">IF(A77="","",COUNTIFS(Picks!$C$2:$C$301,A77,Picks!$H$2:$H$301,"Y"))</f>
        <v/>
      </c>
      <c r="P77" s="8"/>
      <c r="Q77" s="8"/>
    </row>
    <row r="78" customFormat="false" ht="15" hidden="false" customHeight="false" outlineLevel="0" collapsed="false">
      <c r="A78" s="13"/>
      <c r="B78" s="13"/>
      <c r="C78" s="13"/>
      <c r="D78" s="13"/>
      <c r="E78" s="13"/>
      <c r="F78" s="13"/>
      <c r="G78" s="13"/>
      <c r="H78" s="14"/>
      <c r="I78" s="13"/>
      <c r="J78" s="13"/>
      <c r="K78" s="15" t="str">
        <f aca="false">IF(A78="","",COUNTIF(Quotes!$C$2:$C$301,A78))</f>
        <v/>
      </c>
      <c r="L78" s="15" t="str">
        <f aca="false">IF(A78="","",K78&gt;0)</f>
        <v/>
      </c>
      <c r="M78" s="15" t="str">
        <f aca="false">IF(A78="","",COUNTIF(Picks!$C$2:$C$301,A78))</f>
        <v/>
      </c>
      <c r="N78" s="17" t="str">
        <f aca="false">IF(A78="","",IF(M78=0,"no wins",K78/M78))</f>
        <v/>
      </c>
      <c r="O78" s="15" t="str">
        <f aca="false">IF(A78="","",COUNTIFS(Picks!$C$2:$C$301,A78,Picks!$H$2:$H$301,"Y"))</f>
        <v/>
      </c>
      <c r="P78" s="8"/>
      <c r="Q78" s="8"/>
    </row>
    <row r="79" customFormat="false" ht="15" hidden="false" customHeight="false" outlineLevel="0" collapsed="false">
      <c r="A79" s="13"/>
      <c r="B79" s="13"/>
      <c r="C79" s="13"/>
      <c r="D79" s="13"/>
      <c r="E79" s="13"/>
      <c r="F79" s="13"/>
      <c r="G79" s="13"/>
      <c r="H79" s="14"/>
      <c r="I79" s="13"/>
      <c r="J79" s="13"/>
      <c r="K79" s="15" t="str">
        <f aca="false">IF(A79="","",COUNTIF(Quotes!$C$2:$C$301,A79))</f>
        <v/>
      </c>
      <c r="L79" s="15" t="str">
        <f aca="false">IF(A79="","",K79&gt;0)</f>
        <v/>
      </c>
      <c r="M79" s="15" t="str">
        <f aca="false">IF(A79="","",COUNTIF(Picks!$C$2:$C$301,A79))</f>
        <v/>
      </c>
      <c r="N79" s="17" t="str">
        <f aca="false">IF(A79="","",IF(M79=0,"no wins",K79/M79))</f>
        <v/>
      </c>
      <c r="O79" s="15" t="str">
        <f aca="false">IF(A79="","",COUNTIFS(Picks!$C$2:$C$301,A79,Picks!$H$2:$H$301,"Y"))</f>
        <v/>
      </c>
      <c r="P79" s="8"/>
      <c r="Q79" s="8"/>
    </row>
    <row r="80" customFormat="false" ht="15" hidden="false" customHeight="false" outlineLevel="0" collapsed="false">
      <c r="A80" s="13"/>
      <c r="B80" s="13"/>
      <c r="C80" s="13"/>
      <c r="D80" s="13"/>
      <c r="E80" s="13"/>
      <c r="F80" s="13"/>
      <c r="G80" s="13"/>
      <c r="H80" s="14"/>
      <c r="I80" s="13"/>
      <c r="J80" s="13"/>
      <c r="K80" s="15" t="str">
        <f aca="false">IF(A80="","",COUNTIF(Quotes!$C$2:$C$301,A80))</f>
        <v/>
      </c>
      <c r="L80" s="15" t="str">
        <f aca="false">IF(A80="","",K80&gt;0)</f>
        <v/>
      </c>
      <c r="M80" s="15" t="str">
        <f aca="false">IF(A80="","",COUNTIF(Picks!$C$2:$C$301,A80))</f>
        <v/>
      </c>
      <c r="N80" s="17" t="str">
        <f aca="false">IF(A80="","",IF(M80=0,"no wins",K80/M80))</f>
        <v/>
      </c>
      <c r="O80" s="15" t="str">
        <f aca="false">IF(A80="","",COUNTIFS(Picks!$C$2:$C$301,A80,Picks!$H$2:$H$301,"Y"))</f>
        <v/>
      </c>
      <c r="P80" s="8"/>
      <c r="Q80" s="8"/>
    </row>
    <row r="81" customFormat="false" ht="15" hidden="false" customHeight="false" outlineLevel="0" collapsed="false">
      <c r="A81" s="13"/>
      <c r="B81" s="13"/>
      <c r="C81" s="13"/>
      <c r="D81" s="13"/>
      <c r="E81" s="13"/>
      <c r="F81" s="13"/>
      <c r="G81" s="13"/>
      <c r="H81" s="14"/>
      <c r="I81" s="13"/>
      <c r="J81" s="13"/>
      <c r="K81" s="15" t="str">
        <f aca="false">IF(A81="","",COUNTIF(Quotes!$C$2:$C$301,A81))</f>
        <v/>
      </c>
      <c r="L81" s="15" t="str">
        <f aca="false">IF(A81="","",K81&gt;0)</f>
        <v/>
      </c>
      <c r="M81" s="15" t="str">
        <f aca="false">IF(A81="","",COUNTIF(Picks!$C$2:$C$301,A81))</f>
        <v/>
      </c>
      <c r="N81" s="17" t="str">
        <f aca="false">IF(A81="","",IF(M81=0,"no wins",K81/M81))</f>
        <v/>
      </c>
      <c r="O81" s="15" t="str">
        <f aca="false">IF(A81="","",COUNTIFS(Picks!$C$2:$C$301,A81,Picks!$H$2:$H$301,"Y"))</f>
        <v/>
      </c>
      <c r="P81" s="8"/>
      <c r="Q81" s="8"/>
    </row>
    <row r="82" customFormat="false" ht="15" hidden="false" customHeight="false" outlineLevel="0" collapsed="false">
      <c r="A82" s="13"/>
      <c r="B82" s="13"/>
      <c r="C82" s="13"/>
      <c r="D82" s="13"/>
      <c r="E82" s="13"/>
      <c r="F82" s="13"/>
      <c r="G82" s="13"/>
      <c r="H82" s="14"/>
      <c r="I82" s="13"/>
      <c r="J82" s="13"/>
      <c r="K82" s="15" t="str">
        <f aca="false">IF(A82="","",COUNTIF(Quotes!$C$2:$C$301,A82))</f>
        <v/>
      </c>
      <c r="L82" s="15" t="str">
        <f aca="false">IF(A82="","",K82&gt;0)</f>
        <v/>
      </c>
      <c r="M82" s="15" t="str">
        <f aca="false">IF(A82="","",COUNTIF(Picks!$C$2:$C$301,A82))</f>
        <v/>
      </c>
      <c r="N82" s="17" t="str">
        <f aca="false">IF(A82="","",IF(M82=0,"no wins",K82/M82))</f>
        <v/>
      </c>
      <c r="O82" s="15" t="str">
        <f aca="false">IF(A82="","",COUNTIFS(Picks!$C$2:$C$301,A82,Picks!$H$2:$H$301,"Y"))</f>
        <v/>
      </c>
      <c r="P82" s="8"/>
      <c r="Q82" s="8"/>
    </row>
    <row r="83" customFormat="false" ht="15" hidden="false" customHeight="false" outlineLevel="0" collapsed="false">
      <c r="A83" s="13"/>
      <c r="B83" s="13"/>
      <c r="C83" s="13"/>
      <c r="D83" s="13"/>
      <c r="E83" s="13"/>
      <c r="F83" s="13"/>
      <c r="G83" s="13"/>
      <c r="H83" s="14"/>
      <c r="I83" s="13"/>
      <c r="J83" s="13"/>
      <c r="K83" s="15" t="str">
        <f aca="false">IF(A83="","",COUNTIF(Quotes!$C$2:$C$301,A83))</f>
        <v/>
      </c>
      <c r="L83" s="15" t="str">
        <f aca="false">IF(A83="","",K83&gt;0)</f>
        <v/>
      </c>
      <c r="M83" s="15" t="str">
        <f aca="false">IF(A83="","",COUNTIF(Picks!$C$2:$C$301,A83))</f>
        <v/>
      </c>
      <c r="N83" s="17" t="str">
        <f aca="false">IF(A83="","",IF(M83=0,"no wins",K83/M83))</f>
        <v/>
      </c>
      <c r="O83" s="15" t="str">
        <f aca="false">IF(A83="","",COUNTIFS(Picks!$C$2:$C$301,A83,Picks!$H$2:$H$301,"Y"))</f>
        <v/>
      </c>
      <c r="P83" s="8"/>
      <c r="Q83" s="8"/>
    </row>
    <row r="84" customFormat="false" ht="15" hidden="false" customHeight="false" outlineLevel="0" collapsed="false">
      <c r="A84" s="13"/>
      <c r="B84" s="13"/>
      <c r="C84" s="13"/>
      <c r="D84" s="13"/>
      <c r="E84" s="13"/>
      <c r="F84" s="13"/>
      <c r="G84" s="13"/>
      <c r="H84" s="14"/>
      <c r="I84" s="13"/>
      <c r="J84" s="13"/>
      <c r="K84" s="15" t="str">
        <f aca="false">IF(A84="","",COUNTIF(Quotes!$C$2:$C$301,A84))</f>
        <v/>
      </c>
      <c r="L84" s="15" t="str">
        <f aca="false">IF(A84="","",K84&gt;0)</f>
        <v/>
      </c>
      <c r="M84" s="15" t="str">
        <f aca="false">IF(A84="","",COUNTIF(Picks!$C$2:$C$301,A84))</f>
        <v/>
      </c>
      <c r="N84" s="17" t="str">
        <f aca="false">IF(A84="","",IF(M84=0,"no wins",K84/M84))</f>
        <v/>
      </c>
      <c r="O84" s="15" t="str">
        <f aca="false">IF(A84="","",COUNTIFS(Picks!$C$2:$C$301,A84,Picks!$H$2:$H$301,"Y"))</f>
        <v/>
      </c>
      <c r="P84" s="8"/>
      <c r="Q84" s="8"/>
    </row>
    <row r="85" customFormat="false" ht="15" hidden="false" customHeight="false" outlineLevel="0" collapsed="false">
      <c r="A85" s="13"/>
      <c r="B85" s="13"/>
      <c r="C85" s="13"/>
      <c r="D85" s="13"/>
      <c r="E85" s="13"/>
      <c r="F85" s="13"/>
      <c r="G85" s="13"/>
      <c r="H85" s="14"/>
      <c r="I85" s="13"/>
      <c r="J85" s="13"/>
      <c r="K85" s="15" t="str">
        <f aca="false">IF(A85="","",COUNTIF(Quotes!$C$2:$C$301,A85))</f>
        <v/>
      </c>
      <c r="L85" s="15" t="str">
        <f aca="false">IF(A85="","",K85&gt;0)</f>
        <v/>
      </c>
      <c r="M85" s="15" t="str">
        <f aca="false">IF(A85="","",COUNTIF(Picks!$C$2:$C$301,A85))</f>
        <v/>
      </c>
      <c r="N85" s="17" t="str">
        <f aca="false">IF(A85="","",IF(M85=0,"no wins",K85/M85))</f>
        <v/>
      </c>
      <c r="O85" s="15" t="str">
        <f aca="false">IF(A85="","",COUNTIFS(Picks!$C$2:$C$301,A85,Picks!$H$2:$H$301,"Y"))</f>
        <v/>
      </c>
      <c r="P85" s="8"/>
      <c r="Q85" s="8"/>
    </row>
    <row r="86" customFormat="false" ht="15" hidden="false" customHeight="false" outlineLevel="0" collapsed="false">
      <c r="A86" s="13"/>
      <c r="B86" s="13"/>
      <c r="C86" s="13"/>
      <c r="D86" s="13"/>
      <c r="E86" s="13"/>
      <c r="F86" s="13"/>
      <c r="G86" s="13"/>
      <c r="H86" s="14"/>
      <c r="I86" s="13"/>
      <c r="J86" s="13"/>
      <c r="K86" s="15" t="str">
        <f aca="false">IF(A86="","",COUNTIF(Quotes!$C$2:$C$301,A86))</f>
        <v/>
      </c>
      <c r="L86" s="15" t="str">
        <f aca="false">IF(A86="","",K86&gt;0)</f>
        <v/>
      </c>
      <c r="M86" s="15" t="str">
        <f aca="false">IF(A86="","",COUNTIF(Picks!$C$2:$C$301,A86))</f>
        <v/>
      </c>
      <c r="N86" s="17" t="str">
        <f aca="false">IF(A86="","",IF(M86=0,"no wins",K86/M86))</f>
        <v/>
      </c>
      <c r="O86" s="15" t="str">
        <f aca="false">IF(A86="","",COUNTIFS(Picks!$C$2:$C$301,A86,Picks!$H$2:$H$301,"Y"))</f>
        <v/>
      </c>
      <c r="P86" s="8"/>
      <c r="Q86" s="8"/>
    </row>
    <row r="87" customFormat="false" ht="15" hidden="false" customHeight="false" outlineLevel="0" collapsed="false">
      <c r="A87" s="13"/>
      <c r="B87" s="13"/>
      <c r="C87" s="13"/>
      <c r="D87" s="13"/>
      <c r="E87" s="13"/>
      <c r="F87" s="13"/>
      <c r="G87" s="13"/>
      <c r="H87" s="14"/>
      <c r="I87" s="13"/>
      <c r="J87" s="13"/>
      <c r="K87" s="15" t="str">
        <f aca="false">IF(A87="","",COUNTIF(Quotes!$C$2:$C$301,A87))</f>
        <v/>
      </c>
      <c r="L87" s="15" t="str">
        <f aca="false">IF(A87="","",K87&gt;0)</f>
        <v/>
      </c>
      <c r="M87" s="15" t="str">
        <f aca="false">IF(A87="","",COUNTIF(Picks!$C$2:$C$301,A87))</f>
        <v/>
      </c>
      <c r="N87" s="17" t="str">
        <f aca="false">IF(A87="","",IF(M87=0,"no wins",K87/M87))</f>
        <v/>
      </c>
      <c r="O87" s="15" t="str">
        <f aca="false">IF(A87="","",COUNTIFS(Picks!$C$2:$C$301,A87,Picks!$H$2:$H$301,"Y"))</f>
        <v/>
      </c>
      <c r="P87" s="8"/>
      <c r="Q87" s="8"/>
    </row>
    <row r="88" customFormat="false" ht="15" hidden="false" customHeight="false" outlineLevel="0" collapsed="false">
      <c r="A88" s="13"/>
      <c r="B88" s="13"/>
      <c r="C88" s="13"/>
      <c r="D88" s="13"/>
      <c r="E88" s="13"/>
      <c r="F88" s="13"/>
      <c r="G88" s="13"/>
      <c r="H88" s="14"/>
      <c r="I88" s="13"/>
      <c r="J88" s="13"/>
      <c r="K88" s="15" t="str">
        <f aca="false">IF(A88="","",COUNTIF(Quotes!$C$2:$C$301,A88))</f>
        <v/>
      </c>
      <c r="L88" s="15" t="str">
        <f aca="false">IF(A88="","",K88&gt;0)</f>
        <v/>
      </c>
      <c r="M88" s="15" t="str">
        <f aca="false">IF(A88="","",COUNTIF(Picks!$C$2:$C$301,A88))</f>
        <v/>
      </c>
      <c r="N88" s="17" t="str">
        <f aca="false">IF(A88="","",IF(M88=0,"no wins",K88/M88))</f>
        <v/>
      </c>
      <c r="O88" s="15" t="str">
        <f aca="false">IF(A88="","",COUNTIFS(Picks!$C$2:$C$301,A88,Picks!$H$2:$H$301,"Y"))</f>
        <v/>
      </c>
      <c r="P88" s="8"/>
      <c r="Q88" s="8"/>
    </row>
    <row r="89" customFormat="false" ht="15" hidden="false" customHeight="false" outlineLevel="0" collapsed="false">
      <c r="A89" s="13"/>
      <c r="B89" s="13"/>
      <c r="C89" s="13"/>
      <c r="D89" s="13"/>
      <c r="E89" s="13"/>
      <c r="F89" s="13"/>
      <c r="G89" s="13"/>
      <c r="H89" s="14"/>
      <c r="I89" s="13"/>
      <c r="J89" s="13"/>
      <c r="K89" s="15" t="str">
        <f aca="false">IF(A89="","",COUNTIF(Quotes!$C$2:$C$301,A89))</f>
        <v/>
      </c>
      <c r="L89" s="15" t="str">
        <f aca="false">IF(A89="","",K89&gt;0)</f>
        <v/>
      </c>
      <c r="M89" s="15" t="str">
        <f aca="false">IF(A89="","",COUNTIF(Picks!$C$2:$C$301,A89))</f>
        <v/>
      </c>
      <c r="N89" s="17" t="str">
        <f aca="false">IF(A89="","",IF(M89=0,"no wins",K89/M89))</f>
        <v/>
      </c>
      <c r="O89" s="15" t="str">
        <f aca="false">IF(A89="","",COUNTIFS(Picks!$C$2:$C$301,A89,Picks!$H$2:$H$301,"Y"))</f>
        <v/>
      </c>
      <c r="P89" s="8"/>
      <c r="Q89" s="8"/>
    </row>
    <row r="90" customFormat="false" ht="15" hidden="false" customHeight="false" outlineLevel="0" collapsed="false">
      <c r="A90" s="13"/>
      <c r="B90" s="13"/>
      <c r="C90" s="13"/>
      <c r="D90" s="13"/>
      <c r="E90" s="13"/>
      <c r="F90" s="13"/>
      <c r="G90" s="13"/>
      <c r="H90" s="14"/>
      <c r="I90" s="13"/>
      <c r="J90" s="13"/>
      <c r="K90" s="15" t="str">
        <f aca="false">IF(A90="","",COUNTIF(Quotes!$C$2:$C$301,A90))</f>
        <v/>
      </c>
      <c r="L90" s="15" t="str">
        <f aca="false">IF(A90="","",K90&gt;0)</f>
        <v/>
      </c>
      <c r="M90" s="15" t="str">
        <f aca="false">IF(A90="","",COUNTIF(Picks!$C$2:$C$301,A90))</f>
        <v/>
      </c>
      <c r="N90" s="17" t="str">
        <f aca="false">IF(A90="","",IF(M90=0,"no wins",K90/M90))</f>
        <v/>
      </c>
      <c r="O90" s="15" t="str">
        <f aca="false">IF(A90="","",COUNTIFS(Picks!$C$2:$C$301,A90,Picks!$H$2:$H$301,"Y"))</f>
        <v/>
      </c>
      <c r="P90" s="8"/>
      <c r="Q90" s="8"/>
    </row>
    <row r="91" customFormat="false" ht="15" hidden="false" customHeight="false" outlineLevel="0" collapsed="false">
      <c r="A91" s="13"/>
      <c r="B91" s="13"/>
      <c r="C91" s="13"/>
      <c r="D91" s="13"/>
      <c r="E91" s="13"/>
      <c r="F91" s="13"/>
      <c r="G91" s="13"/>
      <c r="H91" s="14"/>
      <c r="I91" s="13"/>
      <c r="J91" s="13"/>
      <c r="K91" s="15" t="str">
        <f aca="false">IF(A91="","",COUNTIF(Quotes!$C$2:$C$301,A91))</f>
        <v/>
      </c>
      <c r="L91" s="15" t="str">
        <f aca="false">IF(A91="","",K91&gt;0)</f>
        <v/>
      </c>
      <c r="M91" s="15" t="str">
        <f aca="false">IF(A91="","",COUNTIF(Picks!$C$2:$C$301,A91))</f>
        <v/>
      </c>
      <c r="N91" s="17" t="str">
        <f aca="false">IF(A91="","",IF(M91=0,"no wins",K91/M91))</f>
        <v/>
      </c>
      <c r="O91" s="15" t="str">
        <f aca="false">IF(A91="","",COUNTIFS(Picks!$C$2:$C$301,A91,Picks!$H$2:$H$301,"Y"))</f>
        <v/>
      </c>
      <c r="P91" s="8"/>
      <c r="Q91" s="8"/>
    </row>
    <row r="92" customFormat="false" ht="15" hidden="false" customHeight="false" outlineLevel="0" collapsed="false">
      <c r="A92" s="13"/>
      <c r="B92" s="13"/>
      <c r="C92" s="13"/>
      <c r="D92" s="13"/>
      <c r="E92" s="13"/>
      <c r="F92" s="13"/>
      <c r="G92" s="13"/>
      <c r="H92" s="14"/>
      <c r="I92" s="13"/>
      <c r="J92" s="13"/>
      <c r="K92" s="15" t="str">
        <f aca="false">IF(A92="","",COUNTIF(Quotes!$C$2:$C$301,A92))</f>
        <v/>
      </c>
      <c r="L92" s="15" t="str">
        <f aca="false">IF(A92="","",K92&gt;0)</f>
        <v/>
      </c>
      <c r="M92" s="15" t="str">
        <f aca="false">IF(A92="","",COUNTIF(Picks!$C$2:$C$301,A92))</f>
        <v/>
      </c>
      <c r="N92" s="17" t="str">
        <f aca="false">IF(A92="","",IF(M92=0,"no wins",K92/M92))</f>
        <v/>
      </c>
      <c r="O92" s="15" t="str">
        <f aca="false">IF(A92="","",COUNTIFS(Picks!$C$2:$C$301,A92,Picks!$H$2:$H$301,"Y"))</f>
        <v/>
      </c>
      <c r="P92" s="8"/>
      <c r="Q92" s="8"/>
    </row>
    <row r="93" customFormat="false" ht="15" hidden="false" customHeight="false" outlineLevel="0" collapsed="false">
      <c r="A93" s="13"/>
      <c r="B93" s="13"/>
      <c r="C93" s="13"/>
      <c r="D93" s="13"/>
      <c r="E93" s="13"/>
      <c r="F93" s="13"/>
      <c r="G93" s="13"/>
      <c r="H93" s="14"/>
      <c r="I93" s="13"/>
      <c r="J93" s="13"/>
      <c r="K93" s="15" t="str">
        <f aca="false">IF(A93="","",COUNTIF(Quotes!$C$2:$C$301,A93))</f>
        <v/>
      </c>
      <c r="L93" s="15" t="str">
        <f aca="false">IF(A93="","",K93&gt;0)</f>
        <v/>
      </c>
      <c r="M93" s="15" t="str">
        <f aca="false">IF(A93="","",COUNTIF(Picks!$C$2:$C$301,A93))</f>
        <v/>
      </c>
      <c r="N93" s="17" t="str">
        <f aca="false">IF(A93="","",IF(M93=0,"no wins",K93/M93))</f>
        <v/>
      </c>
      <c r="O93" s="15" t="str">
        <f aca="false">IF(A93="","",COUNTIFS(Picks!$C$2:$C$301,A93,Picks!$H$2:$H$301,"Y"))</f>
        <v/>
      </c>
      <c r="P93" s="8"/>
      <c r="Q93" s="8"/>
    </row>
    <row r="94" customFormat="false" ht="15" hidden="false" customHeight="false" outlineLevel="0" collapsed="false">
      <c r="A94" s="13"/>
      <c r="B94" s="13"/>
      <c r="C94" s="13"/>
      <c r="D94" s="13"/>
      <c r="E94" s="13"/>
      <c r="F94" s="13"/>
      <c r="G94" s="13"/>
      <c r="H94" s="14"/>
      <c r="I94" s="13"/>
      <c r="J94" s="13"/>
      <c r="K94" s="15" t="str">
        <f aca="false">IF(A94="","",COUNTIF(Quotes!$C$2:$C$301,A94))</f>
        <v/>
      </c>
      <c r="L94" s="15" t="str">
        <f aca="false">IF(A94="","",K94&gt;0)</f>
        <v/>
      </c>
      <c r="M94" s="15" t="str">
        <f aca="false">IF(A94="","",COUNTIF(Picks!$C$2:$C$301,A94))</f>
        <v/>
      </c>
      <c r="N94" s="17" t="str">
        <f aca="false">IF(A94="","",IF(M94=0,"no wins",K94/M94))</f>
        <v/>
      </c>
      <c r="O94" s="15" t="str">
        <f aca="false">IF(A94="","",COUNTIFS(Picks!$C$2:$C$301,A94,Picks!$H$2:$H$301,"Y"))</f>
        <v/>
      </c>
      <c r="P94" s="8"/>
      <c r="Q94" s="8"/>
    </row>
    <row r="95" customFormat="false" ht="15" hidden="false" customHeight="false" outlineLevel="0" collapsed="false">
      <c r="A95" s="13"/>
      <c r="B95" s="13"/>
      <c r="C95" s="13"/>
      <c r="D95" s="13"/>
      <c r="E95" s="13"/>
      <c r="F95" s="13"/>
      <c r="G95" s="13"/>
      <c r="H95" s="14"/>
      <c r="I95" s="13"/>
      <c r="J95" s="13"/>
      <c r="K95" s="15" t="str">
        <f aca="false">IF(A95="","",COUNTIF(Quotes!$C$2:$C$301,A95))</f>
        <v/>
      </c>
      <c r="L95" s="15" t="str">
        <f aca="false">IF(A95="","",K95&gt;0)</f>
        <v/>
      </c>
      <c r="M95" s="15" t="str">
        <f aca="false">IF(A95="","",COUNTIF(Picks!$C$2:$C$301,A95))</f>
        <v/>
      </c>
      <c r="N95" s="17" t="str">
        <f aca="false">IF(A95="","",IF(M95=0,"no wins",K95/M95))</f>
        <v/>
      </c>
      <c r="O95" s="15" t="str">
        <f aca="false">IF(A95="","",COUNTIFS(Picks!$C$2:$C$301,A95,Picks!$H$2:$H$301,"Y"))</f>
        <v/>
      </c>
      <c r="P95" s="8"/>
      <c r="Q95" s="8"/>
    </row>
    <row r="96" customFormat="false" ht="15" hidden="false" customHeight="false" outlineLevel="0" collapsed="false">
      <c r="A96" s="13"/>
      <c r="B96" s="13"/>
      <c r="C96" s="13"/>
      <c r="D96" s="13"/>
      <c r="E96" s="13"/>
      <c r="F96" s="13"/>
      <c r="G96" s="13"/>
      <c r="H96" s="14"/>
      <c r="I96" s="13"/>
      <c r="J96" s="13"/>
      <c r="K96" s="15" t="str">
        <f aca="false">IF(A96="","",COUNTIF(Quotes!$C$2:$C$301,A96))</f>
        <v/>
      </c>
      <c r="L96" s="15" t="str">
        <f aca="false">IF(A96="","",K96&gt;0)</f>
        <v/>
      </c>
      <c r="M96" s="15" t="str">
        <f aca="false">IF(A96="","",COUNTIF(Picks!$C$2:$C$301,A96))</f>
        <v/>
      </c>
      <c r="N96" s="17" t="str">
        <f aca="false">IF(A96="","",IF(M96=0,"no wins",K96/M96))</f>
        <v/>
      </c>
      <c r="O96" s="15" t="str">
        <f aca="false">IF(A96="","",COUNTIFS(Picks!$C$2:$C$301,A96,Picks!$H$2:$H$301,"Y"))</f>
        <v/>
      </c>
      <c r="P96" s="8"/>
      <c r="Q96" s="8"/>
    </row>
    <row r="97" customFormat="false" ht="15" hidden="false" customHeight="false" outlineLevel="0" collapsed="false">
      <c r="A97" s="13"/>
      <c r="B97" s="13"/>
      <c r="C97" s="13"/>
      <c r="D97" s="13"/>
      <c r="E97" s="13"/>
      <c r="F97" s="13"/>
      <c r="G97" s="13"/>
      <c r="H97" s="14"/>
      <c r="I97" s="13"/>
      <c r="J97" s="13"/>
      <c r="K97" s="15" t="str">
        <f aca="false">IF(A97="","",COUNTIF(Quotes!$C$2:$C$301,A97))</f>
        <v/>
      </c>
      <c r="L97" s="15" t="str">
        <f aca="false">IF(A97="","",K97&gt;0)</f>
        <v/>
      </c>
      <c r="M97" s="15" t="str">
        <f aca="false">IF(A97="","",COUNTIF(Picks!$C$2:$C$301,A97))</f>
        <v/>
      </c>
      <c r="N97" s="17" t="str">
        <f aca="false">IF(A97="","",IF(M97=0,"no wins",K97/M97))</f>
        <v/>
      </c>
      <c r="O97" s="15" t="str">
        <f aca="false">IF(A97="","",COUNTIFS(Picks!$C$2:$C$301,A97,Picks!$H$2:$H$301,"Y"))</f>
        <v/>
      </c>
      <c r="P97" s="8"/>
      <c r="Q97" s="8"/>
    </row>
    <row r="98" customFormat="false" ht="15" hidden="false" customHeight="false" outlineLevel="0" collapsed="false">
      <c r="A98" s="13"/>
      <c r="B98" s="13"/>
      <c r="C98" s="13"/>
      <c r="D98" s="13"/>
      <c r="E98" s="13"/>
      <c r="F98" s="13"/>
      <c r="G98" s="13"/>
      <c r="H98" s="14"/>
      <c r="I98" s="13"/>
      <c r="J98" s="13"/>
      <c r="K98" s="15" t="str">
        <f aca="false">IF(A98="","",COUNTIF(Quotes!$C$2:$C$301,A98))</f>
        <v/>
      </c>
      <c r="L98" s="15" t="str">
        <f aca="false">IF(A98="","",K98&gt;0)</f>
        <v/>
      </c>
      <c r="M98" s="15" t="str">
        <f aca="false">IF(A98="","",COUNTIF(Picks!$C$2:$C$301,A98))</f>
        <v/>
      </c>
      <c r="N98" s="17" t="str">
        <f aca="false">IF(A98="","",IF(M98=0,"no wins",K98/M98))</f>
        <v/>
      </c>
      <c r="O98" s="15" t="str">
        <f aca="false">IF(A98="","",COUNTIFS(Picks!$C$2:$C$301,A98,Picks!$H$2:$H$301,"Y"))</f>
        <v/>
      </c>
      <c r="P98" s="8"/>
      <c r="Q98" s="8"/>
    </row>
    <row r="99" customFormat="false" ht="15" hidden="false" customHeight="false" outlineLevel="0" collapsed="false">
      <c r="A99" s="13"/>
      <c r="B99" s="13"/>
      <c r="C99" s="13"/>
      <c r="D99" s="13"/>
      <c r="E99" s="13"/>
      <c r="F99" s="13"/>
      <c r="G99" s="13"/>
      <c r="H99" s="14"/>
      <c r="I99" s="13"/>
      <c r="J99" s="13"/>
      <c r="K99" s="15" t="str">
        <f aca="false">IF(A99="","",COUNTIF(Quotes!$C$2:$C$301,A99))</f>
        <v/>
      </c>
      <c r="L99" s="15" t="str">
        <f aca="false">IF(A99="","",K99&gt;0)</f>
        <v/>
      </c>
      <c r="M99" s="15" t="str">
        <f aca="false">IF(A99="","",COUNTIF(Picks!$C$2:$C$301,A99))</f>
        <v/>
      </c>
      <c r="N99" s="17" t="str">
        <f aca="false">IF(A99="","",IF(M99=0,"no wins",K99/M99))</f>
        <v/>
      </c>
      <c r="O99" s="15" t="str">
        <f aca="false">IF(A99="","",COUNTIFS(Picks!$C$2:$C$301,A99,Picks!$H$2:$H$301,"Y"))</f>
        <v/>
      </c>
      <c r="P99" s="8"/>
      <c r="Q99" s="8"/>
    </row>
    <row r="100" customFormat="false" ht="15" hidden="false" customHeight="false" outlineLevel="0" collapsed="false">
      <c r="A100" s="13"/>
      <c r="B100" s="13"/>
      <c r="C100" s="13"/>
      <c r="D100" s="13"/>
      <c r="E100" s="13"/>
      <c r="F100" s="13"/>
      <c r="G100" s="13"/>
      <c r="H100" s="14"/>
      <c r="I100" s="13"/>
      <c r="J100" s="13"/>
      <c r="K100" s="15" t="str">
        <f aca="false">IF(A100="","",COUNTIF(Quotes!$C$2:$C$301,A100))</f>
        <v/>
      </c>
      <c r="L100" s="15" t="str">
        <f aca="false">IF(A100="","",K100&gt;0)</f>
        <v/>
      </c>
      <c r="M100" s="15" t="str">
        <f aca="false">IF(A100="","",COUNTIF(Picks!$C$2:$C$301,A100))</f>
        <v/>
      </c>
      <c r="N100" s="17" t="str">
        <f aca="false">IF(A100="","",IF(M100=0,"no wins",K100/M100))</f>
        <v/>
      </c>
      <c r="O100" s="15" t="str">
        <f aca="false">IF(A100="","",COUNTIFS(Picks!$C$2:$C$301,A100,Picks!$H$2:$H$301,"Y"))</f>
        <v/>
      </c>
      <c r="P100" s="8"/>
      <c r="Q100" s="8"/>
    </row>
    <row r="101" customFormat="false" ht="15" hidden="false" customHeight="false" outlineLevel="0" collapsed="false">
      <c r="A101" s="13"/>
      <c r="B101" s="13"/>
      <c r="C101" s="13"/>
      <c r="D101" s="13"/>
      <c r="E101" s="13"/>
      <c r="F101" s="13"/>
      <c r="G101" s="13"/>
      <c r="H101" s="14"/>
      <c r="I101" s="13"/>
      <c r="J101" s="13"/>
      <c r="K101" s="15" t="str">
        <f aca="false">IF(A101="","",COUNTIF(Quotes!$C$2:$C$301,A101))</f>
        <v/>
      </c>
      <c r="L101" s="15" t="str">
        <f aca="false">IF(A101="","",K101&gt;0)</f>
        <v/>
      </c>
      <c r="M101" s="15" t="str">
        <f aca="false">IF(A101="","",COUNTIF(Picks!$C$2:$C$301,A101))</f>
        <v/>
      </c>
      <c r="N101" s="17" t="str">
        <f aca="false">IF(A101="","",IF(M101=0,"no wins",K101/M101))</f>
        <v/>
      </c>
      <c r="O101" s="15" t="str">
        <f aca="false">IF(A101="","",COUNTIFS(Picks!$C$2:$C$301,A101,Picks!$H$2:$H$301,"Y"))</f>
        <v/>
      </c>
      <c r="P101" s="8"/>
      <c r="Q101" s="8"/>
    </row>
    <row r="102" customFormat="false" ht="15" hidden="false" customHeight="false" outlineLevel="0" collapsed="false">
      <c r="A102" s="13"/>
      <c r="B102" s="13"/>
      <c r="C102" s="13"/>
      <c r="D102" s="13"/>
      <c r="E102" s="13"/>
      <c r="F102" s="13"/>
      <c r="G102" s="13"/>
      <c r="H102" s="14"/>
      <c r="I102" s="13"/>
      <c r="J102" s="13"/>
      <c r="K102" s="15" t="str">
        <f aca="false">IF(A102="","",COUNTIF(Quotes!$C$2:$C$301,A102))</f>
        <v/>
      </c>
      <c r="L102" s="15" t="str">
        <f aca="false">IF(A102="","",K102&gt;0)</f>
        <v/>
      </c>
      <c r="M102" s="15" t="str">
        <f aca="false">IF(A102="","",COUNTIF(Picks!$C$2:$C$301,A102))</f>
        <v/>
      </c>
      <c r="N102" s="17" t="str">
        <f aca="false">IF(A102="","",IF(M102=0,"no wins",K102/M102))</f>
        <v/>
      </c>
      <c r="O102" s="15" t="str">
        <f aca="false">IF(A102="","",COUNTIFS(Picks!$C$2:$C$301,A102,Picks!$H$2:$H$301,"Y"))</f>
        <v/>
      </c>
      <c r="P102" s="8"/>
      <c r="Q102" s="8"/>
    </row>
    <row r="103" customFormat="false" ht="15" hidden="false" customHeight="false" outlineLevel="0" collapsed="false">
      <c r="A103" s="13"/>
      <c r="B103" s="13"/>
      <c r="C103" s="13"/>
      <c r="D103" s="13"/>
      <c r="E103" s="13"/>
      <c r="F103" s="13"/>
      <c r="G103" s="13"/>
      <c r="H103" s="14"/>
      <c r="I103" s="13"/>
      <c r="J103" s="13"/>
      <c r="K103" s="15" t="str">
        <f aca="false">IF(A103="","",COUNTIF(Quotes!$C$2:$C$301,A103))</f>
        <v/>
      </c>
      <c r="L103" s="15" t="str">
        <f aca="false">IF(A103="","",K103&gt;0)</f>
        <v/>
      </c>
      <c r="M103" s="15" t="str">
        <f aca="false">IF(A103="","",COUNTIF(Picks!$C$2:$C$301,A103))</f>
        <v/>
      </c>
      <c r="N103" s="17" t="str">
        <f aca="false">IF(A103="","",IF(M103=0,"no wins",K103/M103))</f>
        <v/>
      </c>
      <c r="O103" s="15" t="str">
        <f aca="false">IF(A103="","",COUNTIFS(Picks!$C$2:$C$301,A103,Picks!$H$2:$H$301,"Y"))</f>
        <v/>
      </c>
      <c r="P103" s="8"/>
      <c r="Q103" s="8"/>
    </row>
    <row r="104" customFormat="false" ht="15" hidden="false" customHeight="false" outlineLevel="0" collapsed="false">
      <c r="A104" s="13"/>
      <c r="B104" s="13"/>
      <c r="C104" s="13"/>
      <c r="D104" s="13"/>
      <c r="E104" s="13"/>
      <c r="F104" s="13"/>
      <c r="G104" s="13"/>
      <c r="H104" s="14"/>
      <c r="I104" s="13"/>
      <c r="J104" s="13"/>
      <c r="K104" s="15" t="str">
        <f aca="false">IF(A104="","",COUNTIF(Quotes!$C$2:$C$301,A104))</f>
        <v/>
      </c>
      <c r="L104" s="15" t="str">
        <f aca="false">IF(A104="","",K104&gt;0)</f>
        <v/>
      </c>
      <c r="M104" s="15" t="str">
        <f aca="false">IF(A104="","",COUNTIF(Picks!$C$2:$C$301,A104))</f>
        <v/>
      </c>
      <c r="N104" s="17" t="str">
        <f aca="false">IF(A104="","",IF(M104=0,"no wins",K104/M104))</f>
        <v/>
      </c>
      <c r="O104" s="15" t="str">
        <f aca="false">IF(A104="","",COUNTIFS(Picks!$C$2:$C$301,A104,Picks!$H$2:$H$301,"Y"))</f>
        <v/>
      </c>
      <c r="P104" s="8"/>
      <c r="Q104" s="8"/>
    </row>
    <row r="105" customFormat="false" ht="15" hidden="false" customHeight="false" outlineLevel="0" collapsed="false">
      <c r="A105" s="13"/>
      <c r="B105" s="13"/>
      <c r="C105" s="13"/>
      <c r="D105" s="13"/>
      <c r="E105" s="13"/>
      <c r="F105" s="13"/>
      <c r="G105" s="13"/>
      <c r="H105" s="14"/>
      <c r="I105" s="13"/>
      <c r="J105" s="13"/>
      <c r="K105" s="15" t="str">
        <f aca="false">IF(A105="","",COUNTIF(Quotes!$C$2:$C$301,A105))</f>
        <v/>
      </c>
      <c r="L105" s="15" t="str">
        <f aca="false">IF(A105="","",K105&gt;0)</f>
        <v/>
      </c>
      <c r="M105" s="15" t="str">
        <f aca="false">IF(A105="","",COUNTIF(Picks!$C$2:$C$301,A105))</f>
        <v/>
      </c>
      <c r="N105" s="17" t="str">
        <f aca="false">IF(A105="","",IF(M105=0,"no wins",K105/M105))</f>
        <v/>
      </c>
      <c r="O105" s="15" t="str">
        <f aca="false">IF(A105="","",COUNTIFS(Picks!$C$2:$C$301,A105,Picks!$H$2:$H$301,"Y"))</f>
        <v/>
      </c>
      <c r="P105" s="8"/>
      <c r="Q105" s="8"/>
    </row>
    <row r="106" customFormat="false" ht="15" hidden="false" customHeight="false" outlineLevel="0" collapsed="false">
      <c r="A106" s="13"/>
      <c r="B106" s="13"/>
      <c r="C106" s="13"/>
      <c r="D106" s="13"/>
      <c r="E106" s="13"/>
      <c r="F106" s="13"/>
      <c r="G106" s="13"/>
      <c r="H106" s="14"/>
      <c r="I106" s="13"/>
      <c r="J106" s="13"/>
      <c r="K106" s="15" t="str">
        <f aca="false">IF(A106="","",COUNTIF(Quotes!$C$2:$C$301,A106))</f>
        <v/>
      </c>
      <c r="L106" s="15" t="str">
        <f aca="false">IF(A106="","",K106&gt;0)</f>
        <v/>
      </c>
      <c r="M106" s="15" t="str">
        <f aca="false">IF(A106="","",COUNTIF(Picks!$C$2:$C$301,A106))</f>
        <v/>
      </c>
      <c r="N106" s="17" t="str">
        <f aca="false">IF(A106="","",IF(M106=0,"no wins",K106/M106))</f>
        <v/>
      </c>
      <c r="O106" s="15" t="str">
        <f aca="false">IF(A106="","",COUNTIFS(Picks!$C$2:$C$301,A106,Picks!$H$2:$H$301,"Y"))</f>
        <v/>
      </c>
      <c r="P106" s="8"/>
      <c r="Q106" s="8"/>
    </row>
    <row r="107" customFormat="false" ht="15" hidden="false" customHeight="false" outlineLevel="0" collapsed="false">
      <c r="A107" s="13"/>
      <c r="B107" s="13"/>
      <c r="C107" s="13"/>
      <c r="D107" s="13"/>
      <c r="E107" s="13"/>
      <c r="F107" s="13"/>
      <c r="G107" s="13"/>
      <c r="H107" s="14"/>
      <c r="I107" s="13"/>
      <c r="J107" s="13"/>
      <c r="K107" s="15" t="str">
        <f aca="false">IF(A107="","",COUNTIF(Quotes!$C$2:$C$301,A107))</f>
        <v/>
      </c>
      <c r="L107" s="15" t="str">
        <f aca="false">IF(A107="","",K107&gt;0)</f>
        <v/>
      </c>
      <c r="M107" s="15" t="str">
        <f aca="false">IF(A107="","",COUNTIF(Picks!$C$2:$C$301,A107))</f>
        <v/>
      </c>
      <c r="N107" s="17" t="str">
        <f aca="false">IF(A107="","",IF(M107=0,"no wins",K107/M107))</f>
        <v/>
      </c>
      <c r="O107" s="15" t="str">
        <f aca="false">IF(A107="","",COUNTIFS(Picks!$C$2:$C$301,A107,Picks!$H$2:$H$301,"Y"))</f>
        <v/>
      </c>
      <c r="P107" s="8"/>
      <c r="Q107" s="8"/>
    </row>
    <row r="108" customFormat="false" ht="15" hidden="false" customHeight="false" outlineLevel="0" collapsed="false">
      <c r="A108" s="13"/>
      <c r="B108" s="13"/>
      <c r="C108" s="13"/>
      <c r="D108" s="13"/>
      <c r="E108" s="13"/>
      <c r="F108" s="13"/>
      <c r="G108" s="13"/>
      <c r="H108" s="14"/>
      <c r="I108" s="13"/>
      <c r="J108" s="13"/>
      <c r="K108" s="15" t="str">
        <f aca="false">IF(A108="","",COUNTIF(Quotes!$C$2:$C$301,A108))</f>
        <v/>
      </c>
      <c r="L108" s="15" t="str">
        <f aca="false">IF(A108="","",K108&gt;0)</f>
        <v/>
      </c>
      <c r="M108" s="15" t="str">
        <f aca="false">IF(A108="","",COUNTIF(Picks!$C$2:$C$301,A108))</f>
        <v/>
      </c>
      <c r="N108" s="17" t="str">
        <f aca="false">IF(A108="","",IF(M108=0,"no wins",K108/M108))</f>
        <v/>
      </c>
      <c r="O108" s="15" t="str">
        <f aca="false">IF(A108="","",COUNTIFS(Picks!$C$2:$C$301,A108,Picks!$H$2:$H$301,"Y"))</f>
        <v/>
      </c>
      <c r="P108" s="8"/>
      <c r="Q108" s="8"/>
    </row>
    <row r="109" customFormat="false" ht="15" hidden="false" customHeight="false" outlineLevel="0" collapsed="false">
      <c r="A109" s="13"/>
      <c r="B109" s="13"/>
      <c r="C109" s="13"/>
      <c r="D109" s="13"/>
      <c r="E109" s="13"/>
      <c r="F109" s="13"/>
      <c r="G109" s="13"/>
      <c r="H109" s="14"/>
      <c r="I109" s="13"/>
      <c r="J109" s="13"/>
      <c r="K109" s="15" t="str">
        <f aca="false">IF(A109="","",COUNTIF(Quotes!$C$2:$C$301,A109))</f>
        <v/>
      </c>
      <c r="L109" s="15" t="str">
        <f aca="false">IF(A109="","",K109&gt;0)</f>
        <v/>
      </c>
      <c r="M109" s="15" t="str">
        <f aca="false">IF(A109="","",COUNTIF(Picks!$C$2:$C$301,A109))</f>
        <v/>
      </c>
      <c r="N109" s="17" t="str">
        <f aca="false">IF(A109="","",IF(M109=0,"no wins",K109/M109))</f>
        <v/>
      </c>
      <c r="O109" s="15" t="str">
        <f aca="false">IF(A109="","",COUNTIFS(Picks!$C$2:$C$301,A109,Picks!$H$2:$H$301,"Y"))</f>
        <v/>
      </c>
      <c r="P109" s="8"/>
      <c r="Q109" s="8"/>
    </row>
    <row r="110" customFormat="false" ht="15" hidden="false" customHeight="false" outlineLevel="0" collapsed="false">
      <c r="A110" s="13"/>
      <c r="B110" s="13"/>
      <c r="C110" s="13"/>
      <c r="D110" s="13"/>
      <c r="E110" s="13"/>
      <c r="F110" s="13"/>
      <c r="G110" s="13"/>
      <c r="H110" s="14"/>
      <c r="I110" s="13"/>
      <c r="J110" s="13"/>
      <c r="K110" s="15" t="str">
        <f aca="false">IF(A110="","",COUNTIF(Quotes!$C$2:$C$301,A110))</f>
        <v/>
      </c>
      <c r="L110" s="15" t="str">
        <f aca="false">IF(A110="","",K110&gt;0)</f>
        <v/>
      </c>
      <c r="M110" s="15" t="str">
        <f aca="false">IF(A110="","",COUNTIF(Picks!$C$2:$C$301,A110))</f>
        <v/>
      </c>
      <c r="N110" s="17" t="str">
        <f aca="false">IF(A110="","",IF(M110=0,"no wins",K110/M110))</f>
        <v/>
      </c>
      <c r="O110" s="15" t="str">
        <f aca="false">IF(A110="","",COUNTIFS(Picks!$C$2:$C$301,A110,Picks!$H$2:$H$301,"Y"))</f>
        <v/>
      </c>
      <c r="P110" s="8"/>
      <c r="Q110" s="8"/>
    </row>
    <row r="111" customFormat="false" ht="15" hidden="false" customHeight="false" outlineLevel="0" collapsed="false">
      <c r="A111" s="13"/>
      <c r="B111" s="13"/>
      <c r="C111" s="13"/>
      <c r="D111" s="13"/>
      <c r="E111" s="13"/>
      <c r="F111" s="13"/>
      <c r="G111" s="13"/>
      <c r="H111" s="14"/>
      <c r="I111" s="13"/>
      <c r="J111" s="13"/>
      <c r="K111" s="15" t="str">
        <f aca="false">IF(A111="","",COUNTIF(Quotes!$C$2:$C$301,A111))</f>
        <v/>
      </c>
      <c r="L111" s="15" t="str">
        <f aca="false">IF(A111="","",K111&gt;0)</f>
        <v/>
      </c>
      <c r="M111" s="15" t="str">
        <f aca="false">IF(A111="","",COUNTIF(Picks!$C$2:$C$301,A111))</f>
        <v/>
      </c>
      <c r="N111" s="17" t="str">
        <f aca="false">IF(A111="","",IF(M111=0,"no wins",K111/M111))</f>
        <v/>
      </c>
      <c r="O111" s="15" t="str">
        <f aca="false">IF(A111="","",COUNTIFS(Picks!$C$2:$C$301,A111,Picks!$H$2:$H$301,"Y"))</f>
        <v/>
      </c>
      <c r="P111" s="8"/>
      <c r="Q111" s="8"/>
    </row>
    <row r="112" customFormat="false" ht="15" hidden="false" customHeight="false" outlineLevel="0" collapsed="false">
      <c r="A112" s="13"/>
      <c r="B112" s="13"/>
      <c r="C112" s="13"/>
      <c r="D112" s="13"/>
      <c r="E112" s="13"/>
      <c r="F112" s="13"/>
      <c r="G112" s="13"/>
      <c r="H112" s="14"/>
      <c r="I112" s="13"/>
      <c r="J112" s="13"/>
      <c r="K112" s="15" t="str">
        <f aca="false">IF(A112="","",COUNTIF(Quotes!$C$2:$C$301,A112))</f>
        <v/>
      </c>
      <c r="L112" s="15" t="str">
        <f aca="false">IF(A112="","",K112&gt;0)</f>
        <v/>
      </c>
      <c r="M112" s="15" t="str">
        <f aca="false">IF(A112="","",COUNTIF(Picks!$C$2:$C$301,A112))</f>
        <v/>
      </c>
      <c r="N112" s="17" t="str">
        <f aca="false">IF(A112="","",IF(M112=0,"no wins",K112/M112))</f>
        <v/>
      </c>
      <c r="O112" s="15" t="str">
        <f aca="false">IF(A112="","",COUNTIFS(Picks!$C$2:$C$301,A112,Picks!$H$2:$H$301,"Y"))</f>
        <v/>
      </c>
      <c r="P112" s="8"/>
      <c r="Q112" s="8"/>
    </row>
    <row r="113" customFormat="false" ht="15" hidden="false" customHeight="false" outlineLevel="0" collapsed="false">
      <c r="A113" s="13"/>
      <c r="B113" s="13"/>
      <c r="C113" s="13"/>
      <c r="D113" s="13"/>
      <c r="E113" s="13"/>
      <c r="F113" s="13"/>
      <c r="G113" s="13"/>
      <c r="H113" s="14"/>
      <c r="I113" s="13"/>
      <c r="J113" s="13"/>
      <c r="K113" s="15" t="str">
        <f aca="false">IF(A113="","",COUNTIF(Quotes!$C$2:$C$301,A113))</f>
        <v/>
      </c>
      <c r="L113" s="15" t="str">
        <f aca="false">IF(A113="","",K113&gt;0)</f>
        <v/>
      </c>
      <c r="M113" s="15" t="str">
        <f aca="false">IF(A113="","",COUNTIF(Picks!$C$2:$C$301,A113))</f>
        <v/>
      </c>
      <c r="N113" s="17" t="str">
        <f aca="false">IF(A113="","",IF(M113=0,"no wins",K113/M113))</f>
        <v/>
      </c>
      <c r="O113" s="15" t="str">
        <f aca="false">IF(A113="","",COUNTIFS(Picks!$C$2:$C$301,A113,Picks!$H$2:$H$301,"Y"))</f>
        <v/>
      </c>
      <c r="P113" s="8"/>
      <c r="Q113" s="8"/>
    </row>
    <row r="114" customFormat="false" ht="15" hidden="false" customHeight="false" outlineLevel="0" collapsed="false">
      <c r="A114" s="13"/>
      <c r="B114" s="13"/>
      <c r="C114" s="13"/>
      <c r="D114" s="13"/>
      <c r="E114" s="13"/>
      <c r="F114" s="13"/>
      <c r="G114" s="13"/>
      <c r="H114" s="14"/>
      <c r="I114" s="13"/>
      <c r="J114" s="13"/>
      <c r="K114" s="15" t="str">
        <f aca="false">IF(A114="","",COUNTIF(Quotes!$C$2:$C$301,A114))</f>
        <v/>
      </c>
      <c r="L114" s="15" t="str">
        <f aca="false">IF(A114="","",K114&gt;0)</f>
        <v/>
      </c>
      <c r="M114" s="15" t="str">
        <f aca="false">IF(A114="","",COUNTIF(Picks!$C$2:$C$301,A114))</f>
        <v/>
      </c>
      <c r="N114" s="17" t="str">
        <f aca="false">IF(A114="","",IF(M114=0,"no wins",K114/M114))</f>
        <v/>
      </c>
      <c r="O114" s="15" t="str">
        <f aca="false">IF(A114="","",COUNTIFS(Picks!$C$2:$C$301,A114,Picks!$H$2:$H$301,"Y"))</f>
        <v/>
      </c>
      <c r="P114" s="8"/>
      <c r="Q114" s="8"/>
    </row>
    <row r="115" customFormat="false" ht="15" hidden="false" customHeight="false" outlineLevel="0" collapsed="false">
      <c r="A115" s="13"/>
      <c r="B115" s="13"/>
      <c r="C115" s="13"/>
      <c r="D115" s="13"/>
      <c r="E115" s="13"/>
      <c r="F115" s="13"/>
      <c r="G115" s="13"/>
      <c r="H115" s="14"/>
      <c r="I115" s="13"/>
      <c r="J115" s="13"/>
      <c r="K115" s="15" t="str">
        <f aca="false">IF(A115="","",COUNTIF(Quotes!$C$2:$C$301,A115))</f>
        <v/>
      </c>
      <c r="L115" s="15" t="str">
        <f aca="false">IF(A115="","",K115&gt;0)</f>
        <v/>
      </c>
      <c r="M115" s="15" t="str">
        <f aca="false">IF(A115="","",COUNTIF(Picks!$C$2:$C$301,A115))</f>
        <v/>
      </c>
      <c r="N115" s="17" t="str">
        <f aca="false">IF(A115="","",IF(M115=0,"no wins",K115/M115))</f>
        <v/>
      </c>
      <c r="O115" s="15" t="str">
        <f aca="false">IF(A115="","",COUNTIFS(Picks!$C$2:$C$301,A115,Picks!$H$2:$H$301,"Y"))</f>
        <v/>
      </c>
      <c r="P115" s="8"/>
      <c r="Q115" s="8"/>
    </row>
    <row r="116" customFormat="false" ht="15" hidden="false" customHeight="false" outlineLevel="0" collapsed="false">
      <c r="A116" s="13"/>
      <c r="B116" s="13"/>
      <c r="C116" s="13"/>
      <c r="D116" s="13"/>
      <c r="E116" s="13"/>
      <c r="F116" s="13"/>
      <c r="G116" s="13"/>
      <c r="H116" s="14"/>
      <c r="I116" s="13"/>
      <c r="J116" s="13"/>
      <c r="K116" s="15" t="str">
        <f aca="false">IF(A116="","",COUNTIF(Quotes!$C$2:$C$301,A116))</f>
        <v/>
      </c>
      <c r="L116" s="15" t="str">
        <f aca="false">IF(A116="","",K116&gt;0)</f>
        <v/>
      </c>
      <c r="M116" s="15" t="str">
        <f aca="false">IF(A116="","",COUNTIF(Picks!$C$2:$C$301,A116))</f>
        <v/>
      </c>
      <c r="N116" s="17" t="str">
        <f aca="false">IF(A116="","",IF(M116=0,"no wins",K116/M116))</f>
        <v/>
      </c>
      <c r="O116" s="15" t="str">
        <f aca="false">IF(A116="","",COUNTIFS(Picks!$C$2:$C$301,A116,Picks!$H$2:$H$301,"Y"))</f>
        <v/>
      </c>
      <c r="P116" s="8"/>
      <c r="Q116" s="8"/>
    </row>
    <row r="117" customFormat="false" ht="15" hidden="false" customHeight="false" outlineLevel="0" collapsed="false">
      <c r="A117" s="13"/>
      <c r="B117" s="13"/>
      <c r="C117" s="13"/>
      <c r="D117" s="13"/>
      <c r="E117" s="13"/>
      <c r="F117" s="13"/>
      <c r="G117" s="13"/>
      <c r="H117" s="14"/>
      <c r="I117" s="13"/>
      <c r="J117" s="13"/>
      <c r="K117" s="15" t="str">
        <f aca="false">IF(A117="","",COUNTIF(Quotes!$C$2:$C$301,A117))</f>
        <v/>
      </c>
      <c r="L117" s="15" t="str">
        <f aca="false">IF(A117="","",K117&gt;0)</f>
        <v/>
      </c>
      <c r="M117" s="15" t="str">
        <f aca="false">IF(A117="","",COUNTIF(Picks!$C$2:$C$301,A117))</f>
        <v/>
      </c>
      <c r="N117" s="17" t="str">
        <f aca="false">IF(A117="","",IF(M117=0,"no wins",K117/M117))</f>
        <v/>
      </c>
      <c r="O117" s="15" t="str">
        <f aca="false">IF(A117="","",COUNTIFS(Picks!$C$2:$C$301,A117,Picks!$H$2:$H$301,"Y"))</f>
        <v/>
      </c>
      <c r="P117" s="8"/>
      <c r="Q117" s="8"/>
    </row>
    <row r="118" customFormat="false" ht="15" hidden="false" customHeight="false" outlineLevel="0" collapsed="false">
      <c r="A118" s="13"/>
      <c r="B118" s="13"/>
      <c r="C118" s="13"/>
      <c r="D118" s="13"/>
      <c r="E118" s="13"/>
      <c r="F118" s="13"/>
      <c r="G118" s="13"/>
      <c r="H118" s="14"/>
      <c r="I118" s="13"/>
      <c r="J118" s="13"/>
      <c r="K118" s="15" t="str">
        <f aca="false">IF(A118="","",COUNTIF(Quotes!$C$2:$C$301,A118))</f>
        <v/>
      </c>
      <c r="L118" s="15" t="str">
        <f aca="false">IF(A118="","",K118&gt;0)</f>
        <v/>
      </c>
      <c r="M118" s="15" t="str">
        <f aca="false">IF(A118="","",COUNTIF(Picks!$C$2:$C$301,A118))</f>
        <v/>
      </c>
      <c r="N118" s="17" t="str">
        <f aca="false">IF(A118="","",IF(M118=0,"no wins",K118/M118))</f>
        <v/>
      </c>
      <c r="O118" s="15" t="str">
        <f aca="false">IF(A118="","",COUNTIFS(Picks!$C$2:$C$301,A118,Picks!$H$2:$H$301,"Y"))</f>
        <v/>
      </c>
      <c r="P118" s="8"/>
      <c r="Q118" s="8"/>
    </row>
    <row r="119" customFormat="false" ht="15" hidden="false" customHeight="false" outlineLevel="0" collapsed="false">
      <c r="A119" s="13"/>
      <c r="B119" s="13"/>
      <c r="C119" s="13"/>
      <c r="D119" s="13"/>
      <c r="E119" s="13"/>
      <c r="F119" s="13"/>
      <c r="G119" s="13"/>
      <c r="H119" s="14"/>
      <c r="I119" s="13"/>
      <c r="J119" s="13"/>
      <c r="K119" s="15" t="str">
        <f aca="false">IF(A119="","",COUNTIF(Quotes!$C$2:$C$301,A119))</f>
        <v/>
      </c>
      <c r="L119" s="15" t="str">
        <f aca="false">IF(A119="","",K119&gt;0)</f>
        <v/>
      </c>
      <c r="M119" s="15" t="str">
        <f aca="false">IF(A119="","",COUNTIF(Picks!$C$2:$C$301,A119))</f>
        <v/>
      </c>
      <c r="N119" s="17" t="str">
        <f aca="false">IF(A119="","",IF(M119=0,"no wins",K119/M119))</f>
        <v/>
      </c>
      <c r="O119" s="15" t="str">
        <f aca="false">IF(A119="","",COUNTIFS(Picks!$C$2:$C$301,A119,Picks!$H$2:$H$301,"Y"))</f>
        <v/>
      </c>
      <c r="P119" s="8"/>
      <c r="Q119" s="8"/>
    </row>
    <row r="120" customFormat="false" ht="15" hidden="false" customHeight="false" outlineLevel="0" collapsed="false">
      <c r="A120" s="13"/>
      <c r="B120" s="13"/>
      <c r="C120" s="13"/>
      <c r="D120" s="13"/>
      <c r="E120" s="13"/>
      <c r="F120" s="13"/>
      <c r="G120" s="13"/>
      <c r="H120" s="14"/>
      <c r="I120" s="13"/>
      <c r="J120" s="13"/>
      <c r="K120" s="15" t="str">
        <f aca="false">IF(A120="","",COUNTIF(Quotes!$C$2:$C$301,A120))</f>
        <v/>
      </c>
      <c r="L120" s="15" t="str">
        <f aca="false">IF(A120="","",K120&gt;0)</f>
        <v/>
      </c>
      <c r="M120" s="15" t="str">
        <f aca="false">IF(A120="","",COUNTIF(Picks!$C$2:$C$301,A120))</f>
        <v/>
      </c>
      <c r="N120" s="17" t="str">
        <f aca="false">IF(A120="","",IF(M120=0,"no wins",K120/M120))</f>
        <v/>
      </c>
      <c r="O120" s="15" t="str">
        <f aca="false">IF(A120="","",COUNTIFS(Picks!$C$2:$C$301,A120,Picks!$H$2:$H$301,"Y"))</f>
        <v/>
      </c>
      <c r="P120" s="8"/>
      <c r="Q120" s="8"/>
    </row>
    <row r="121" customFormat="false" ht="15" hidden="false" customHeight="false" outlineLevel="0" collapsed="false">
      <c r="A121" s="13"/>
      <c r="B121" s="13"/>
      <c r="C121" s="13"/>
      <c r="D121" s="13"/>
      <c r="E121" s="13"/>
      <c r="F121" s="13"/>
      <c r="G121" s="13"/>
      <c r="H121" s="14"/>
      <c r="I121" s="13"/>
      <c r="J121" s="13"/>
      <c r="K121" s="15" t="str">
        <f aca="false">IF(A121="","",COUNTIF(Quotes!$C$2:$C$301,A121))</f>
        <v/>
      </c>
      <c r="L121" s="15" t="str">
        <f aca="false">IF(A121="","",K121&gt;0)</f>
        <v/>
      </c>
      <c r="M121" s="15" t="str">
        <f aca="false">IF(A121="","",COUNTIF(Picks!$C$2:$C$301,A121))</f>
        <v/>
      </c>
      <c r="N121" s="17" t="str">
        <f aca="false">IF(A121="","",IF(M121=0,"no wins",K121/M121))</f>
        <v/>
      </c>
      <c r="O121" s="15" t="str">
        <f aca="false">IF(A121="","",COUNTIFS(Picks!$C$2:$C$301,A121,Picks!$H$2:$H$301,"Y"))</f>
        <v/>
      </c>
      <c r="P121" s="8"/>
      <c r="Q121" s="8"/>
    </row>
    <row r="122" customFormat="false" ht="15" hidden="false" customHeight="false" outlineLevel="0" collapsed="false">
      <c r="A122" s="13"/>
      <c r="B122" s="13"/>
      <c r="C122" s="13"/>
      <c r="D122" s="13"/>
      <c r="E122" s="13"/>
      <c r="F122" s="13"/>
      <c r="G122" s="13"/>
      <c r="H122" s="14"/>
      <c r="I122" s="13"/>
      <c r="J122" s="13"/>
      <c r="K122" s="15" t="str">
        <f aca="false">IF(A122="","",COUNTIF(Quotes!$C$2:$C$301,A122))</f>
        <v/>
      </c>
      <c r="L122" s="15" t="str">
        <f aca="false">IF(A122="","",K122&gt;0)</f>
        <v/>
      </c>
      <c r="M122" s="15" t="str">
        <f aca="false">IF(A122="","",COUNTIF(Picks!$C$2:$C$301,A122))</f>
        <v/>
      </c>
      <c r="N122" s="17" t="str">
        <f aca="false">IF(A122="","",IF(M122=0,"no wins",K122/M122))</f>
        <v/>
      </c>
      <c r="O122" s="15" t="str">
        <f aca="false">IF(A122="","",COUNTIFS(Picks!$C$2:$C$301,A122,Picks!$H$2:$H$301,"Y"))</f>
        <v/>
      </c>
      <c r="P122" s="8"/>
      <c r="Q122" s="8"/>
    </row>
    <row r="123" customFormat="false" ht="15" hidden="false" customHeight="false" outlineLevel="0" collapsed="false">
      <c r="A123" s="13"/>
      <c r="B123" s="13"/>
      <c r="C123" s="13"/>
      <c r="D123" s="13"/>
      <c r="E123" s="13"/>
      <c r="F123" s="13"/>
      <c r="G123" s="13"/>
      <c r="H123" s="14"/>
      <c r="I123" s="13"/>
      <c r="J123" s="13"/>
      <c r="K123" s="15" t="str">
        <f aca="false">IF(A123="","",COUNTIF(Quotes!$C$2:$C$301,A123))</f>
        <v/>
      </c>
      <c r="L123" s="15" t="str">
        <f aca="false">IF(A123="","",K123&gt;0)</f>
        <v/>
      </c>
      <c r="M123" s="15" t="str">
        <f aca="false">IF(A123="","",COUNTIF(Picks!$C$2:$C$301,A123))</f>
        <v/>
      </c>
      <c r="N123" s="17" t="str">
        <f aca="false">IF(A123="","",IF(M123=0,"no wins",K123/M123))</f>
        <v/>
      </c>
      <c r="O123" s="15" t="str">
        <f aca="false">IF(A123="","",COUNTIFS(Picks!$C$2:$C$301,A123,Picks!$H$2:$H$301,"Y"))</f>
        <v/>
      </c>
      <c r="P123" s="8"/>
      <c r="Q123" s="8"/>
    </row>
    <row r="124" customFormat="false" ht="15" hidden="false" customHeight="false" outlineLevel="0" collapsed="false">
      <c r="A124" s="13"/>
      <c r="B124" s="13"/>
      <c r="C124" s="13"/>
      <c r="D124" s="13"/>
      <c r="E124" s="13"/>
      <c r="F124" s="13"/>
      <c r="G124" s="13"/>
      <c r="H124" s="14"/>
      <c r="I124" s="13"/>
      <c r="J124" s="13"/>
      <c r="K124" s="15" t="str">
        <f aca="false">IF(A124="","",COUNTIF(Quotes!$C$2:$C$301,A124))</f>
        <v/>
      </c>
      <c r="L124" s="15" t="str">
        <f aca="false">IF(A124="","",K124&gt;0)</f>
        <v/>
      </c>
      <c r="M124" s="15" t="str">
        <f aca="false">IF(A124="","",COUNTIF(Picks!$C$2:$C$301,A124))</f>
        <v/>
      </c>
      <c r="N124" s="17" t="str">
        <f aca="false">IF(A124="","",IF(M124=0,"no wins",K124/M124))</f>
        <v/>
      </c>
      <c r="O124" s="15" t="str">
        <f aca="false">IF(A124="","",COUNTIFS(Picks!$C$2:$C$301,A124,Picks!$H$2:$H$301,"Y"))</f>
        <v/>
      </c>
      <c r="P124" s="8"/>
      <c r="Q124" s="8"/>
    </row>
    <row r="125" customFormat="false" ht="15" hidden="false" customHeight="false" outlineLevel="0" collapsed="false">
      <c r="A125" s="13"/>
      <c r="B125" s="13"/>
      <c r="C125" s="13"/>
      <c r="D125" s="13"/>
      <c r="E125" s="13"/>
      <c r="F125" s="13"/>
      <c r="G125" s="13"/>
      <c r="H125" s="14"/>
      <c r="I125" s="13"/>
      <c r="J125" s="13"/>
      <c r="K125" s="15" t="str">
        <f aca="false">IF(A125="","",COUNTIF(Quotes!$C$2:$C$301,A125))</f>
        <v/>
      </c>
      <c r="L125" s="15" t="str">
        <f aca="false">IF(A125="","",K125&gt;0)</f>
        <v/>
      </c>
      <c r="M125" s="15" t="str">
        <f aca="false">IF(A125="","",COUNTIF(Picks!$C$2:$C$301,A125))</f>
        <v/>
      </c>
      <c r="N125" s="17" t="str">
        <f aca="false">IF(A125="","",IF(M125=0,"no wins",K125/M125))</f>
        <v/>
      </c>
      <c r="O125" s="15" t="str">
        <f aca="false">IF(A125="","",COUNTIFS(Picks!$C$2:$C$301,A125,Picks!$H$2:$H$301,"Y"))</f>
        <v/>
      </c>
      <c r="P125" s="8"/>
      <c r="Q125" s="8"/>
    </row>
    <row r="126" customFormat="false" ht="15" hidden="false" customHeight="false" outlineLevel="0" collapsed="false">
      <c r="A126" s="13"/>
      <c r="B126" s="13"/>
      <c r="C126" s="13"/>
      <c r="D126" s="13"/>
      <c r="E126" s="13"/>
      <c r="F126" s="13"/>
      <c r="G126" s="13"/>
      <c r="H126" s="14"/>
      <c r="I126" s="13"/>
      <c r="J126" s="13"/>
      <c r="K126" s="15" t="str">
        <f aca="false">IF(A126="","",COUNTIF(Quotes!$C$2:$C$301,A126))</f>
        <v/>
      </c>
      <c r="L126" s="15" t="str">
        <f aca="false">IF(A126="","",K126&gt;0)</f>
        <v/>
      </c>
      <c r="M126" s="15" t="str">
        <f aca="false">IF(A126="","",COUNTIF(Picks!$C$2:$C$301,A126))</f>
        <v/>
      </c>
      <c r="N126" s="17" t="str">
        <f aca="false">IF(A126="","",IF(M126=0,"no wins",K126/M126))</f>
        <v/>
      </c>
      <c r="O126" s="15" t="str">
        <f aca="false">IF(A126="","",COUNTIFS(Picks!$C$2:$C$301,A126,Picks!$H$2:$H$301,"Y"))</f>
        <v/>
      </c>
      <c r="P126" s="8"/>
      <c r="Q126" s="8"/>
    </row>
    <row r="127" customFormat="false" ht="15" hidden="false" customHeight="false" outlineLevel="0" collapsed="false">
      <c r="A127" s="13"/>
      <c r="B127" s="13"/>
      <c r="C127" s="13"/>
      <c r="D127" s="13"/>
      <c r="E127" s="13"/>
      <c r="F127" s="13"/>
      <c r="G127" s="13"/>
      <c r="H127" s="14"/>
      <c r="I127" s="13"/>
      <c r="J127" s="13"/>
      <c r="K127" s="15" t="str">
        <f aca="false">IF(A127="","",COUNTIF(Quotes!$C$2:$C$301,A127))</f>
        <v/>
      </c>
      <c r="L127" s="15" t="str">
        <f aca="false">IF(A127="","",K127&gt;0)</f>
        <v/>
      </c>
      <c r="M127" s="15" t="str">
        <f aca="false">IF(A127="","",COUNTIF(Picks!$C$2:$C$301,A127))</f>
        <v/>
      </c>
      <c r="N127" s="17" t="str">
        <f aca="false">IF(A127="","",IF(M127=0,"no wins",K127/M127))</f>
        <v/>
      </c>
      <c r="O127" s="15" t="str">
        <f aca="false">IF(A127="","",COUNTIFS(Picks!$C$2:$C$301,A127,Picks!$H$2:$H$301,"Y"))</f>
        <v/>
      </c>
      <c r="P127" s="8"/>
      <c r="Q127" s="8"/>
    </row>
    <row r="128" customFormat="false" ht="15" hidden="false" customHeight="false" outlineLevel="0" collapsed="false">
      <c r="A128" s="13"/>
      <c r="B128" s="13"/>
      <c r="C128" s="13"/>
      <c r="D128" s="13"/>
      <c r="E128" s="13"/>
      <c r="F128" s="13"/>
      <c r="G128" s="13"/>
      <c r="H128" s="14"/>
      <c r="I128" s="13"/>
      <c r="J128" s="13"/>
      <c r="K128" s="15" t="str">
        <f aca="false">IF(A128="","",COUNTIF(Quotes!$C$2:$C$301,A128))</f>
        <v/>
      </c>
      <c r="L128" s="15" t="str">
        <f aca="false">IF(A128="","",K128&gt;0)</f>
        <v/>
      </c>
      <c r="M128" s="15" t="str">
        <f aca="false">IF(A128="","",COUNTIF(Picks!$C$2:$C$301,A128))</f>
        <v/>
      </c>
      <c r="N128" s="17" t="str">
        <f aca="false">IF(A128="","",IF(M128=0,"no wins",K128/M128))</f>
        <v/>
      </c>
      <c r="O128" s="15" t="str">
        <f aca="false">IF(A128="","",COUNTIFS(Picks!$C$2:$C$301,A128,Picks!$H$2:$H$301,"Y"))</f>
        <v/>
      </c>
      <c r="P128" s="8"/>
      <c r="Q128" s="8"/>
    </row>
    <row r="129" customFormat="false" ht="15" hidden="false" customHeight="false" outlineLevel="0" collapsed="false">
      <c r="A129" s="13"/>
      <c r="B129" s="13"/>
      <c r="C129" s="13"/>
      <c r="D129" s="13"/>
      <c r="E129" s="13"/>
      <c r="F129" s="13"/>
      <c r="G129" s="13"/>
      <c r="H129" s="14"/>
      <c r="I129" s="13"/>
      <c r="J129" s="13"/>
      <c r="K129" s="15" t="str">
        <f aca="false">IF(A129="","",COUNTIF(Quotes!$C$2:$C$301,A129))</f>
        <v/>
      </c>
      <c r="L129" s="15" t="str">
        <f aca="false">IF(A129="","",K129&gt;0)</f>
        <v/>
      </c>
      <c r="M129" s="15" t="str">
        <f aca="false">IF(A129="","",COUNTIF(Picks!$C$2:$C$301,A129))</f>
        <v/>
      </c>
      <c r="N129" s="17" t="str">
        <f aca="false">IF(A129="","",IF(M129=0,"no wins",K129/M129))</f>
        <v/>
      </c>
      <c r="O129" s="15" t="str">
        <f aca="false">IF(A129="","",COUNTIFS(Picks!$C$2:$C$301,A129,Picks!$H$2:$H$301,"Y"))</f>
        <v/>
      </c>
      <c r="P129" s="8"/>
      <c r="Q129" s="8"/>
    </row>
    <row r="130" customFormat="false" ht="15" hidden="false" customHeight="false" outlineLevel="0" collapsed="false">
      <c r="A130" s="13"/>
      <c r="B130" s="13"/>
      <c r="C130" s="13"/>
      <c r="D130" s="13"/>
      <c r="E130" s="13"/>
      <c r="F130" s="13"/>
      <c r="G130" s="13"/>
      <c r="H130" s="14"/>
      <c r="I130" s="13"/>
      <c r="J130" s="13"/>
      <c r="K130" s="15" t="str">
        <f aca="false">IF(A130="","",COUNTIF(Quotes!$C$2:$C$301,A130))</f>
        <v/>
      </c>
      <c r="L130" s="15" t="str">
        <f aca="false">IF(A130="","",K130&gt;0)</f>
        <v/>
      </c>
      <c r="M130" s="15" t="str">
        <f aca="false">IF(A130="","",COUNTIF(Picks!$C$2:$C$301,A130))</f>
        <v/>
      </c>
      <c r="N130" s="17" t="str">
        <f aca="false">IF(A130="","",IF(M130=0,"no wins",K130/M130))</f>
        <v/>
      </c>
      <c r="O130" s="15" t="str">
        <f aca="false">IF(A130="","",COUNTIFS(Picks!$C$2:$C$301,A130,Picks!$H$2:$H$301,"Y"))</f>
        <v/>
      </c>
      <c r="P130" s="8"/>
      <c r="Q130" s="8"/>
    </row>
    <row r="131" customFormat="false" ht="15" hidden="false" customHeight="false" outlineLevel="0" collapsed="false">
      <c r="A131" s="13"/>
      <c r="B131" s="13"/>
      <c r="C131" s="13"/>
      <c r="D131" s="13"/>
      <c r="E131" s="13"/>
      <c r="F131" s="13"/>
      <c r="G131" s="13"/>
      <c r="H131" s="14"/>
      <c r="I131" s="13"/>
      <c r="J131" s="13"/>
      <c r="K131" s="15" t="str">
        <f aca="false">IF(A131="","",COUNTIF(Quotes!$C$2:$C$301,A131))</f>
        <v/>
      </c>
      <c r="L131" s="15" t="str">
        <f aca="false">IF(A131="","",K131&gt;0)</f>
        <v/>
      </c>
      <c r="M131" s="15" t="str">
        <f aca="false">IF(A131="","",COUNTIF(Picks!$C$2:$C$301,A131))</f>
        <v/>
      </c>
      <c r="N131" s="17" t="str">
        <f aca="false">IF(A131="","",IF(M131=0,"no wins",K131/M131))</f>
        <v/>
      </c>
      <c r="O131" s="15" t="str">
        <f aca="false">IF(A131="","",COUNTIFS(Picks!$C$2:$C$301,A131,Picks!$H$2:$H$301,"Y"))</f>
        <v/>
      </c>
      <c r="P131" s="8"/>
      <c r="Q131" s="8"/>
    </row>
    <row r="132" customFormat="false" ht="15" hidden="false" customHeight="false" outlineLevel="0" collapsed="false">
      <c r="A132" s="13"/>
      <c r="B132" s="13"/>
      <c r="C132" s="13"/>
      <c r="D132" s="13"/>
      <c r="E132" s="13"/>
      <c r="F132" s="13"/>
      <c r="G132" s="13"/>
      <c r="H132" s="14"/>
      <c r="I132" s="13"/>
      <c r="J132" s="13"/>
      <c r="K132" s="15" t="str">
        <f aca="false">IF(A132="","",COUNTIF(Quotes!$C$2:$C$301,A132))</f>
        <v/>
      </c>
      <c r="L132" s="15" t="str">
        <f aca="false">IF(A132="","",K132&gt;0)</f>
        <v/>
      </c>
      <c r="M132" s="15" t="str">
        <f aca="false">IF(A132="","",COUNTIF(Picks!$C$2:$C$301,A132))</f>
        <v/>
      </c>
      <c r="N132" s="17" t="str">
        <f aca="false">IF(A132="","",IF(M132=0,"no wins",K132/M132))</f>
        <v/>
      </c>
      <c r="O132" s="15" t="str">
        <f aca="false">IF(A132="","",COUNTIFS(Picks!$C$2:$C$301,A132,Picks!$H$2:$H$301,"Y"))</f>
        <v/>
      </c>
      <c r="P132" s="8"/>
      <c r="Q132" s="8"/>
    </row>
    <row r="133" customFormat="false" ht="15" hidden="false" customHeight="false" outlineLevel="0" collapsed="false">
      <c r="A133" s="13"/>
      <c r="B133" s="13"/>
      <c r="C133" s="13"/>
      <c r="D133" s="13"/>
      <c r="E133" s="13"/>
      <c r="F133" s="13"/>
      <c r="G133" s="13"/>
      <c r="H133" s="14"/>
      <c r="I133" s="13"/>
      <c r="J133" s="13"/>
      <c r="K133" s="15" t="str">
        <f aca="false">IF(A133="","",COUNTIF(Quotes!$C$2:$C$301,A133))</f>
        <v/>
      </c>
      <c r="L133" s="15" t="str">
        <f aca="false">IF(A133="","",K133&gt;0)</f>
        <v/>
      </c>
      <c r="M133" s="15" t="str">
        <f aca="false">IF(A133="","",COUNTIF(Picks!$C$2:$C$301,A133))</f>
        <v/>
      </c>
      <c r="N133" s="17" t="str">
        <f aca="false">IF(A133="","",IF(M133=0,"no wins",K133/M133))</f>
        <v/>
      </c>
      <c r="O133" s="15" t="str">
        <f aca="false">IF(A133="","",COUNTIFS(Picks!$C$2:$C$301,A133,Picks!$H$2:$H$301,"Y"))</f>
        <v/>
      </c>
      <c r="P133" s="8"/>
      <c r="Q133" s="8"/>
    </row>
    <row r="134" customFormat="false" ht="15" hidden="false" customHeight="false" outlineLevel="0" collapsed="false">
      <c r="A134" s="13"/>
      <c r="B134" s="13"/>
      <c r="C134" s="13"/>
      <c r="D134" s="13"/>
      <c r="E134" s="13"/>
      <c r="F134" s="13"/>
      <c r="G134" s="13"/>
      <c r="H134" s="14"/>
      <c r="I134" s="13"/>
      <c r="J134" s="13"/>
      <c r="K134" s="15" t="str">
        <f aca="false">IF(A134="","",COUNTIF(Quotes!$C$2:$C$301,A134))</f>
        <v/>
      </c>
      <c r="L134" s="15" t="str">
        <f aca="false">IF(A134="","",K134&gt;0)</f>
        <v/>
      </c>
      <c r="M134" s="15" t="str">
        <f aca="false">IF(A134="","",COUNTIF(Picks!$C$2:$C$301,A134))</f>
        <v/>
      </c>
      <c r="N134" s="17" t="str">
        <f aca="false">IF(A134="","",IF(M134=0,"no wins",K134/M134))</f>
        <v/>
      </c>
      <c r="O134" s="15" t="str">
        <f aca="false">IF(A134="","",COUNTIFS(Picks!$C$2:$C$301,A134,Picks!$H$2:$H$301,"Y"))</f>
        <v/>
      </c>
      <c r="P134" s="8"/>
      <c r="Q134" s="8"/>
    </row>
    <row r="135" customFormat="false" ht="15" hidden="false" customHeight="false" outlineLevel="0" collapsed="false">
      <c r="A135" s="13"/>
      <c r="B135" s="13"/>
      <c r="C135" s="13"/>
      <c r="D135" s="13"/>
      <c r="E135" s="13"/>
      <c r="F135" s="13"/>
      <c r="G135" s="13"/>
      <c r="H135" s="14"/>
      <c r="I135" s="13"/>
      <c r="J135" s="13"/>
      <c r="K135" s="15" t="str">
        <f aca="false">IF(A135="","",COUNTIF(Quotes!$C$2:$C$301,A135))</f>
        <v/>
      </c>
      <c r="L135" s="15" t="str">
        <f aca="false">IF(A135="","",K135&gt;0)</f>
        <v/>
      </c>
      <c r="M135" s="15" t="str">
        <f aca="false">IF(A135="","",COUNTIF(Picks!$C$2:$C$301,A135))</f>
        <v/>
      </c>
      <c r="N135" s="17" t="str">
        <f aca="false">IF(A135="","",IF(M135=0,"no wins",K135/M135))</f>
        <v/>
      </c>
      <c r="O135" s="15" t="str">
        <f aca="false">IF(A135="","",COUNTIFS(Picks!$C$2:$C$301,A135,Picks!$H$2:$H$301,"Y"))</f>
        <v/>
      </c>
      <c r="P135" s="8"/>
      <c r="Q135" s="8"/>
    </row>
    <row r="136" customFormat="false" ht="15" hidden="false" customHeight="false" outlineLevel="0" collapsed="false">
      <c r="A136" s="13"/>
      <c r="B136" s="13"/>
      <c r="C136" s="13"/>
      <c r="D136" s="13"/>
      <c r="E136" s="13"/>
      <c r="F136" s="13"/>
      <c r="G136" s="13"/>
      <c r="H136" s="14"/>
      <c r="I136" s="13"/>
      <c r="J136" s="13"/>
      <c r="K136" s="15" t="str">
        <f aca="false">IF(A136="","",COUNTIF(Quotes!$C$2:$C$301,A136))</f>
        <v/>
      </c>
      <c r="L136" s="15" t="str">
        <f aca="false">IF(A136="","",K136&gt;0)</f>
        <v/>
      </c>
      <c r="M136" s="15" t="str">
        <f aca="false">IF(A136="","",COUNTIF(Picks!$C$2:$C$301,A136))</f>
        <v/>
      </c>
      <c r="N136" s="17" t="str">
        <f aca="false">IF(A136="","",IF(M136=0,"no wins",K136/M136))</f>
        <v/>
      </c>
      <c r="O136" s="15" t="str">
        <f aca="false">IF(A136="","",COUNTIFS(Picks!$C$2:$C$301,A136,Picks!$H$2:$H$301,"Y"))</f>
        <v/>
      </c>
      <c r="P136" s="8"/>
      <c r="Q136" s="8"/>
    </row>
    <row r="137" customFormat="false" ht="15" hidden="false" customHeight="false" outlineLevel="0" collapsed="false">
      <c r="A137" s="13"/>
      <c r="B137" s="13"/>
      <c r="C137" s="13"/>
      <c r="D137" s="13"/>
      <c r="E137" s="13"/>
      <c r="F137" s="13"/>
      <c r="G137" s="13"/>
      <c r="H137" s="14"/>
      <c r="I137" s="13"/>
      <c r="J137" s="13"/>
      <c r="K137" s="15" t="str">
        <f aca="false">IF(A137="","",COUNTIF(Quotes!$C$2:$C$301,A137))</f>
        <v/>
      </c>
      <c r="L137" s="15" t="str">
        <f aca="false">IF(A137="","",K137&gt;0)</f>
        <v/>
      </c>
      <c r="M137" s="15" t="str">
        <f aca="false">IF(A137="","",COUNTIF(Picks!$C$2:$C$301,A137))</f>
        <v/>
      </c>
      <c r="N137" s="17" t="str">
        <f aca="false">IF(A137="","",IF(M137=0,"no wins",K137/M137))</f>
        <v/>
      </c>
      <c r="O137" s="15" t="str">
        <f aca="false">IF(A137="","",COUNTIFS(Picks!$C$2:$C$301,A137,Picks!$H$2:$H$301,"Y"))</f>
        <v/>
      </c>
      <c r="P137" s="8"/>
      <c r="Q137" s="8"/>
    </row>
    <row r="138" customFormat="false" ht="15" hidden="false" customHeight="false" outlineLevel="0" collapsed="false">
      <c r="A138" s="13"/>
      <c r="B138" s="13"/>
      <c r="C138" s="13"/>
      <c r="D138" s="13"/>
      <c r="E138" s="13"/>
      <c r="F138" s="13"/>
      <c r="G138" s="13"/>
      <c r="H138" s="14"/>
      <c r="I138" s="13"/>
      <c r="J138" s="13"/>
      <c r="K138" s="15" t="str">
        <f aca="false">IF(A138="","",COUNTIF(Quotes!$C$2:$C$301,A138))</f>
        <v/>
      </c>
      <c r="L138" s="15" t="str">
        <f aca="false">IF(A138="","",K138&gt;0)</f>
        <v/>
      </c>
      <c r="M138" s="15" t="str">
        <f aca="false">IF(A138="","",COUNTIF(Picks!$C$2:$C$301,A138))</f>
        <v/>
      </c>
      <c r="N138" s="17" t="str">
        <f aca="false">IF(A138="","",IF(M138=0,"no wins",K138/M138))</f>
        <v/>
      </c>
      <c r="O138" s="15" t="str">
        <f aca="false">IF(A138="","",COUNTIFS(Picks!$C$2:$C$301,A138,Picks!$H$2:$H$301,"Y"))</f>
        <v/>
      </c>
      <c r="P138" s="8"/>
      <c r="Q138" s="8"/>
    </row>
    <row r="139" customFormat="false" ht="15" hidden="false" customHeight="false" outlineLevel="0" collapsed="false">
      <c r="A139" s="13"/>
      <c r="B139" s="13"/>
      <c r="C139" s="13"/>
      <c r="D139" s="13"/>
      <c r="E139" s="13"/>
      <c r="F139" s="13"/>
      <c r="G139" s="13"/>
      <c r="H139" s="14"/>
      <c r="I139" s="13"/>
      <c r="J139" s="13"/>
      <c r="K139" s="15" t="str">
        <f aca="false">IF(A139="","",COUNTIF(Quotes!$C$2:$C$301,A139))</f>
        <v/>
      </c>
      <c r="L139" s="15" t="str">
        <f aca="false">IF(A139="","",K139&gt;0)</f>
        <v/>
      </c>
      <c r="M139" s="15" t="str">
        <f aca="false">IF(A139="","",COUNTIF(Picks!$C$2:$C$301,A139))</f>
        <v/>
      </c>
      <c r="N139" s="17" t="str">
        <f aca="false">IF(A139="","",IF(M139=0,"no wins",K139/M139))</f>
        <v/>
      </c>
      <c r="O139" s="15" t="str">
        <f aca="false">IF(A139="","",COUNTIFS(Picks!$C$2:$C$301,A139,Picks!$H$2:$H$301,"Y"))</f>
        <v/>
      </c>
      <c r="P139" s="8"/>
      <c r="Q139" s="8"/>
    </row>
    <row r="140" customFormat="false" ht="15" hidden="false" customHeight="false" outlineLevel="0" collapsed="false">
      <c r="A140" s="13"/>
      <c r="B140" s="13"/>
      <c r="C140" s="13"/>
      <c r="D140" s="13"/>
      <c r="E140" s="13"/>
      <c r="F140" s="13"/>
      <c r="G140" s="13"/>
      <c r="H140" s="14"/>
      <c r="I140" s="13"/>
      <c r="J140" s="13"/>
      <c r="K140" s="15" t="str">
        <f aca="false">IF(A140="","",COUNTIF(Quotes!$C$2:$C$301,A140))</f>
        <v/>
      </c>
      <c r="L140" s="15" t="str">
        <f aca="false">IF(A140="","",K140&gt;0)</f>
        <v/>
      </c>
      <c r="M140" s="15" t="str">
        <f aca="false">IF(A140="","",COUNTIF(Picks!$C$2:$C$301,A140))</f>
        <v/>
      </c>
      <c r="N140" s="17" t="str">
        <f aca="false">IF(A140="","",IF(M140=0,"no wins",K140/M140))</f>
        <v/>
      </c>
      <c r="O140" s="15" t="str">
        <f aca="false">IF(A140="","",COUNTIFS(Picks!$C$2:$C$301,A140,Picks!$H$2:$H$301,"Y"))</f>
        <v/>
      </c>
      <c r="P140" s="8"/>
      <c r="Q140" s="8"/>
    </row>
    <row r="141" customFormat="false" ht="15" hidden="false" customHeight="false" outlineLevel="0" collapsed="false">
      <c r="A141" s="13"/>
      <c r="B141" s="13"/>
      <c r="C141" s="13"/>
      <c r="D141" s="13"/>
      <c r="E141" s="13"/>
      <c r="F141" s="13"/>
      <c r="G141" s="13"/>
      <c r="H141" s="14"/>
      <c r="I141" s="13"/>
      <c r="J141" s="13"/>
      <c r="K141" s="15" t="str">
        <f aca="false">IF(A141="","",COUNTIF(Quotes!$C$2:$C$301,A141))</f>
        <v/>
      </c>
      <c r="L141" s="15" t="str">
        <f aca="false">IF(A141="","",K141&gt;0)</f>
        <v/>
      </c>
      <c r="M141" s="15" t="str">
        <f aca="false">IF(A141="","",COUNTIF(Picks!$C$2:$C$301,A141))</f>
        <v/>
      </c>
      <c r="N141" s="17" t="str">
        <f aca="false">IF(A141="","",IF(M141=0,"no wins",K141/M141))</f>
        <v/>
      </c>
      <c r="O141" s="15" t="str">
        <f aca="false">IF(A141="","",COUNTIFS(Picks!$C$2:$C$301,A141,Picks!$H$2:$H$301,"Y"))</f>
        <v/>
      </c>
      <c r="P141" s="8"/>
      <c r="Q141" s="8"/>
    </row>
    <row r="142" customFormat="false" ht="15" hidden="false" customHeight="false" outlineLevel="0" collapsed="false">
      <c r="A142" s="13"/>
      <c r="B142" s="13"/>
      <c r="C142" s="13"/>
      <c r="D142" s="13"/>
      <c r="E142" s="13"/>
      <c r="F142" s="13"/>
      <c r="G142" s="13"/>
      <c r="H142" s="14"/>
      <c r="I142" s="13"/>
      <c r="J142" s="13"/>
      <c r="K142" s="15" t="str">
        <f aca="false">IF(A142="","",COUNTIF(Quotes!$C$2:$C$301,A142))</f>
        <v/>
      </c>
      <c r="L142" s="15" t="str">
        <f aca="false">IF(A142="","",K142&gt;0)</f>
        <v/>
      </c>
      <c r="M142" s="15" t="str">
        <f aca="false">IF(A142="","",COUNTIF(Picks!$C$2:$C$301,A142))</f>
        <v/>
      </c>
      <c r="N142" s="17" t="str">
        <f aca="false">IF(A142="","",IF(M142=0,"no wins",K142/M142))</f>
        <v/>
      </c>
      <c r="O142" s="15" t="str">
        <f aca="false">IF(A142="","",COUNTIFS(Picks!$C$2:$C$301,A142,Picks!$H$2:$H$301,"Y"))</f>
        <v/>
      </c>
      <c r="P142" s="8"/>
      <c r="Q142" s="8"/>
    </row>
    <row r="143" customFormat="false" ht="15" hidden="false" customHeight="false" outlineLevel="0" collapsed="false">
      <c r="A143" s="13"/>
      <c r="B143" s="13"/>
      <c r="C143" s="13"/>
      <c r="D143" s="13"/>
      <c r="E143" s="13"/>
      <c r="F143" s="13"/>
      <c r="G143" s="13"/>
      <c r="H143" s="14"/>
      <c r="I143" s="13"/>
      <c r="J143" s="13"/>
      <c r="K143" s="15" t="str">
        <f aca="false">IF(A143="","",COUNTIF(Quotes!$C$2:$C$301,A143))</f>
        <v/>
      </c>
      <c r="L143" s="15" t="str">
        <f aca="false">IF(A143="","",K143&gt;0)</f>
        <v/>
      </c>
      <c r="M143" s="15" t="str">
        <f aca="false">IF(A143="","",COUNTIF(Picks!$C$2:$C$301,A143))</f>
        <v/>
      </c>
      <c r="N143" s="17" t="str">
        <f aca="false">IF(A143="","",IF(M143=0,"no wins",K143/M143))</f>
        <v/>
      </c>
      <c r="O143" s="15" t="str">
        <f aca="false">IF(A143="","",COUNTIFS(Picks!$C$2:$C$301,A143,Picks!$H$2:$H$301,"Y"))</f>
        <v/>
      </c>
      <c r="P143" s="8"/>
      <c r="Q143" s="8"/>
    </row>
    <row r="144" customFormat="false" ht="15" hidden="false" customHeight="false" outlineLevel="0" collapsed="false">
      <c r="A144" s="13"/>
      <c r="B144" s="13"/>
      <c r="C144" s="13"/>
      <c r="D144" s="13"/>
      <c r="E144" s="13"/>
      <c r="F144" s="13"/>
      <c r="G144" s="13"/>
      <c r="H144" s="14"/>
      <c r="I144" s="13"/>
      <c r="J144" s="13"/>
      <c r="K144" s="15" t="str">
        <f aca="false">IF(A144="","",COUNTIF(Quotes!$C$2:$C$301,A144))</f>
        <v/>
      </c>
      <c r="L144" s="15" t="str">
        <f aca="false">IF(A144="","",K144&gt;0)</f>
        <v/>
      </c>
      <c r="M144" s="15" t="str">
        <f aca="false">IF(A144="","",COUNTIF(Picks!$C$2:$C$301,A144))</f>
        <v/>
      </c>
      <c r="N144" s="17" t="str">
        <f aca="false">IF(A144="","",IF(M144=0,"no wins",K144/M144))</f>
        <v/>
      </c>
      <c r="O144" s="15" t="str">
        <f aca="false">IF(A144="","",COUNTIFS(Picks!$C$2:$C$301,A144,Picks!$H$2:$H$301,"Y"))</f>
        <v/>
      </c>
      <c r="P144" s="8"/>
      <c r="Q144" s="8"/>
    </row>
    <row r="145" customFormat="false" ht="15" hidden="false" customHeight="false" outlineLevel="0" collapsed="false">
      <c r="A145" s="13"/>
      <c r="B145" s="13"/>
      <c r="C145" s="13"/>
      <c r="D145" s="13"/>
      <c r="E145" s="13"/>
      <c r="F145" s="13"/>
      <c r="G145" s="13"/>
      <c r="H145" s="14"/>
      <c r="I145" s="13"/>
      <c r="J145" s="13"/>
      <c r="K145" s="15" t="str">
        <f aca="false">IF(A145="","",COUNTIF(Quotes!$C$2:$C$301,A145))</f>
        <v/>
      </c>
      <c r="L145" s="15" t="str">
        <f aca="false">IF(A145="","",K145&gt;0)</f>
        <v/>
      </c>
      <c r="M145" s="15" t="str">
        <f aca="false">IF(A145="","",COUNTIF(Picks!$C$2:$C$301,A145))</f>
        <v/>
      </c>
      <c r="N145" s="17" t="str">
        <f aca="false">IF(A145="","",IF(M145=0,"no wins",K145/M145))</f>
        <v/>
      </c>
      <c r="O145" s="15" t="str">
        <f aca="false">IF(A145="","",COUNTIFS(Picks!$C$2:$C$301,A145,Picks!$H$2:$H$301,"Y"))</f>
        <v/>
      </c>
      <c r="P145" s="8"/>
      <c r="Q145" s="8"/>
    </row>
    <row r="146" customFormat="false" ht="15" hidden="false" customHeight="false" outlineLevel="0" collapsed="false">
      <c r="A146" s="13"/>
      <c r="B146" s="13"/>
      <c r="C146" s="13"/>
      <c r="D146" s="13"/>
      <c r="E146" s="13"/>
      <c r="F146" s="13"/>
      <c r="G146" s="13"/>
      <c r="H146" s="14"/>
      <c r="I146" s="13"/>
      <c r="J146" s="13"/>
      <c r="K146" s="15" t="str">
        <f aca="false">IF(A146="","",COUNTIF(Quotes!$C$2:$C$301,A146))</f>
        <v/>
      </c>
      <c r="L146" s="15" t="str">
        <f aca="false">IF(A146="","",K146&gt;0)</f>
        <v/>
      </c>
      <c r="M146" s="15" t="str">
        <f aca="false">IF(A146="","",COUNTIF(Picks!$C$2:$C$301,A146))</f>
        <v/>
      </c>
      <c r="N146" s="17" t="str">
        <f aca="false">IF(A146="","",IF(M146=0,"no wins",K146/M146))</f>
        <v/>
      </c>
      <c r="O146" s="15" t="str">
        <f aca="false">IF(A146="","",COUNTIFS(Picks!$C$2:$C$301,A146,Picks!$H$2:$H$301,"Y"))</f>
        <v/>
      </c>
      <c r="P146" s="8"/>
      <c r="Q146" s="8"/>
    </row>
    <row r="147" customFormat="false" ht="15" hidden="false" customHeight="false" outlineLevel="0" collapsed="false">
      <c r="A147" s="13"/>
      <c r="B147" s="13"/>
      <c r="C147" s="13"/>
      <c r="D147" s="13"/>
      <c r="E147" s="13"/>
      <c r="F147" s="13"/>
      <c r="G147" s="13"/>
      <c r="H147" s="14"/>
      <c r="I147" s="13"/>
      <c r="J147" s="13"/>
      <c r="K147" s="15" t="str">
        <f aca="false">IF(A147="","",COUNTIF(Quotes!$C$2:$C$301,A147))</f>
        <v/>
      </c>
      <c r="L147" s="15" t="str">
        <f aca="false">IF(A147="","",K147&gt;0)</f>
        <v/>
      </c>
      <c r="M147" s="15" t="str">
        <f aca="false">IF(A147="","",COUNTIF(Picks!$C$2:$C$301,A147))</f>
        <v/>
      </c>
      <c r="N147" s="17" t="str">
        <f aca="false">IF(A147="","",IF(M147=0,"no wins",K147/M147))</f>
        <v/>
      </c>
      <c r="O147" s="15" t="str">
        <f aca="false">IF(A147="","",COUNTIFS(Picks!$C$2:$C$301,A147,Picks!$H$2:$H$301,"Y"))</f>
        <v/>
      </c>
      <c r="P147" s="8"/>
      <c r="Q147" s="8"/>
    </row>
    <row r="148" customFormat="false" ht="15" hidden="false" customHeight="false" outlineLevel="0" collapsed="false">
      <c r="A148" s="13"/>
      <c r="B148" s="13"/>
      <c r="C148" s="13"/>
      <c r="D148" s="13"/>
      <c r="E148" s="13"/>
      <c r="F148" s="13"/>
      <c r="G148" s="13"/>
      <c r="H148" s="14"/>
      <c r="I148" s="13"/>
      <c r="J148" s="13"/>
      <c r="K148" s="15" t="str">
        <f aca="false">IF(A148="","",COUNTIF(Quotes!$C$2:$C$301,A148))</f>
        <v/>
      </c>
      <c r="L148" s="15" t="str">
        <f aca="false">IF(A148="","",K148&gt;0)</f>
        <v/>
      </c>
      <c r="M148" s="15" t="str">
        <f aca="false">IF(A148="","",COUNTIF(Picks!$C$2:$C$301,A148))</f>
        <v/>
      </c>
      <c r="N148" s="17" t="str">
        <f aca="false">IF(A148="","",IF(M148=0,"no wins",K148/M148))</f>
        <v/>
      </c>
      <c r="O148" s="15" t="str">
        <f aca="false">IF(A148="","",COUNTIFS(Picks!$C$2:$C$301,A148,Picks!$H$2:$H$301,"Y"))</f>
        <v/>
      </c>
      <c r="P148" s="8"/>
      <c r="Q148" s="8"/>
    </row>
    <row r="149" customFormat="false" ht="15" hidden="false" customHeight="false" outlineLevel="0" collapsed="false">
      <c r="A149" s="13"/>
      <c r="B149" s="13"/>
      <c r="C149" s="13"/>
      <c r="D149" s="13"/>
      <c r="E149" s="13"/>
      <c r="F149" s="13"/>
      <c r="G149" s="13"/>
      <c r="H149" s="14"/>
      <c r="I149" s="13"/>
      <c r="J149" s="13"/>
      <c r="K149" s="15" t="str">
        <f aca="false">IF(A149="","",COUNTIF(Quotes!$C$2:$C$301,A149))</f>
        <v/>
      </c>
      <c r="L149" s="15" t="str">
        <f aca="false">IF(A149="","",K149&gt;0)</f>
        <v/>
      </c>
      <c r="M149" s="15" t="str">
        <f aca="false">IF(A149="","",COUNTIF(Picks!$C$2:$C$301,A149))</f>
        <v/>
      </c>
      <c r="N149" s="17" t="str">
        <f aca="false">IF(A149="","",IF(M149=0,"no wins",K149/M149))</f>
        <v/>
      </c>
      <c r="O149" s="15" t="str">
        <f aca="false">IF(A149="","",COUNTIFS(Picks!$C$2:$C$301,A149,Picks!$H$2:$H$301,"Y"))</f>
        <v/>
      </c>
      <c r="P149" s="8"/>
      <c r="Q149" s="8"/>
    </row>
    <row r="150" customFormat="false" ht="15" hidden="false" customHeight="false" outlineLevel="0" collapsed="false">
      <c r="A150" s="13"/>
      <c r="B150" s="13"/>
      <c r="C150" s="13"/>
      <c r="D150" s="13"/>
      <c r="E150" s="13"/>
      <c r="F150" s="13"/>
      <c r="G150" s="13"/>
      <c r="H150" s="14"/>
      <c r="I150" s="13"/>
      <c r="J150" s="13"/>
      <c r="K150" s="15" t="str">
        <f aca="false">IF(A150="","",COUNTIF(Quotes!$C$2:$C$301,A150))</f>
        <v/>
      </c>
      <c r="L150" s="15" t="str">
        <f aca="false">IF(A150="","",K150&gt;0)</f>
        <v/>
      </c>
      <c r="M150" s="15" t="str">
        <f aca="false">IF(A150="","",COUNTIF(Picks!$C$2:$C$301,A150))</f>
        <v/>
      </c>
      <c r="N150" s="17" t="str">
        <f aca="false">IF(A150="","",IF(M150=0,"no wins",K150/M150))</f>
        <v/>
      </c>
      <c r="O150" s="15" t="str">
        <f aca="false">IF(A150="","",COUNTIFS(Picks!$C$2:$C$301,A150,Picks!$H$2:$H$301,"Y"))</f>
        <v/>
      </c>
      <c r="P150" s="8"/>
      <c r="Q150" s="8"/>
    </row>
    <row r="151" customFormat="false" ht="15" hidden="false" customHeight="false" outlineLevel="0" collapsed="false">
      <c r="A151" s="13"/>
      <c r="B151" s="13"/>
      <c r="C151" s="13"/>
      <c r="D151" s="13"/>
      <c r="E151" s="13"/>
      <c r="F151" s="13"/>
      <c r="G151" s="13"/>
      <c r="H151" s="14"/>
      <c r="I151" s="13"/>
      <c r="J151" s="13"/>
      <c r="K151" s="15" t="str">
        <f aca="false">IF(A151="","",COUNTIF(Quotes!$C$2:$C$301,A151))</f>
        <v/>
      </c>
      <c r="L151" s="15" t="str">
        <f aca="false">IF(A151="","",K151&gt;0)</f>
        <v/>
      </c>
      <c r="M151" s="15" t="str">
        <f aca="false">IF(A151="","",COUNTIF(Picks!$C$2:$C$301,A151))</f>
        <v/>
      </c>
      <c r="N151" s="17" t="str">
        <f aca="false">IF(A151="","",IF(M151=0,"no wins",K151/M151))</f>
        <v/>
      </c>
      <c r="O151" s="15" t="str">
        <f aca="false">IF(A151="","",COUNTIFS(Picks!$C$2:$C$301,A151,Picks!$H$2:$H$301,"Y"))</f>
        <v/>
      </c>
      <c r="P151" s="8"/>
      <c r="Q151" s="8"/>
    </row>
    <row r="152" customFormat="false" ht="15" hidden="false" customHeight="false" outlineLevel="0" collapsed="false">
      <c r="A152" s="13"/>
      <c r="B152" s="13"/>
      <c r="C152" s="13"/>
      <c r="D152" s="13"/>
      <c r="E152" s="13"/>
      <c r="F152" s="13"/>
      <c r="G152" s="13"/>
      <c r="H152" s="14"/>
      <c r="I152" s="13"/>
      <c r="J152" s="13"/>
      <c r="K152" s="15" t="str">
        <f aca="false">IF(A152="","",COUNTIF(Quotes!$C$2:$C$301,A152))</f>
        <v/>
      </c>
      <c r="L152" s="15" t="str">
        <f aca="false">IF(A152="","",K152&gt;0)</f>
        <v/>
      </c>
      <c r="M152" s="15" t="str">
        <f aca="false">IF(A152="","",COUNTIF(Picks!$C$2:$C$301,A152))</f>
        <v/>
      </c>
      <c r="N152" s="17" t="str">
        <f aca="false">IF(A152="","",IF(M152=0,"no wins",K152/M152))</f>
        <v/>
      </c>
      <c r="O152" s="15" t="str">
        <f aca="false">IF(A152="","",COUNTIFS(Picks!$C$2:$C$301,A152,Picks!$H$2:$H$301,"Y"))</f>
        <v/>
      </c>
      <c r="P152" s="8"/>
      <c r="Q152" s="8"/>
    </row>
    <row r="153" customFormat="false" ht="15" hidden="false" customHeight="false" outlineLevel="0" collapsed="false">
      <c r="A153" s="13"/>
      <c r="B153" s="13"/>
      <c r="C153" s="13"/>
      <c r="D153" s="13"/>
      <c r="E153" s="13"/>
      <c r="F153" s="13"/>
      <c r="G153" s="13"/>
      <c r="H153" s="14"/>
      <c r="I153" s="13"/>
      <c r="J153" s="13"/>
      <c r="K153" s="15" t="str">
        <f aca="false">IF(A153="","",COUNTIF(Quotes!$C$2:$C$301,A153))</f>
        <v/>
      </c>
      <c r="L153" s="15" t="str">
        <f aca="false">IF(A153="","",K153&gt;0)</f>
        <v/>
      </c>
      <c r="M153" s="15" t="str">
        <f aca="false">IF(A153="","",COUNTIF(Picks!$C$2:$C$301,A153))</f>
        <v/>
      </c>
      <c r="N153" s="17" t="str">
        <f aca="false">IF(A153="","",IF(M153=0,"no wins",K153/M153))</f>
        <v/>
      </c>
      <c r="O153" s="15" t="str">
        <f aca="false">IF(A153="","",COUNTIFS(Picks!$C$2:$C$301,A153,Picks!$H$2:$H$301,"Y"))</f>
        <v/>
      </c>
      <c r="P153" s="8"/>
      <c r="Q153" s="8"/>
    </row>
    <row r="154" customFormat="false" ht="15" hidden="false" customHeight="false" outlineLevel="0" collapsed="false">
      <c r="A154" s="13"/>
      <c r="B154" s="13"/>
      <c r="C154" s="13"/>
      <c r="D154" s="13"/>
      <c r="E154" s="13"/>
      <c r="F154" s="13"/>
      <c r="G154" s="13"/>
      <c r="H154" s="14"/>
      <c r="I154" s="13"/>
      <c r="J154" s="13"/>
      <c r="K154" s="15" t="str">
        <f aca="false">IF(A154="","",COUNTIF(Quotes!$C$2:$C$301,A154))</f>
        <v/>
      </c>
      <c r="L154" s="15" t="str">
        <f aca="false">IF(A154="","",K154&gt;0)</f>
        <v/>
      </c>
      <c r="M154" s="15" t="str">
        <f aca="false">IF(A154="","",COUNTIF(Picks!$C$2:$C$301,A154))</f>
        <v/>
      </c>
      <c r="N154" s="17" t="str">
        <f aca="false">IF(A154="","",IF(M154=0,"no wins",K154/M154))</f>
        <v/>
      </c>
      <c r="O154" s="15" t="str">
        <f aca="false">IF(A154="","",COUNTIFS(Picks!$C$2:$C$301,A154,Picks!$H$2:$H$301,"Y"))</f>
        <v/>
      </c>
      <c r="P154" s="8"/>
      <c r="Q154" s="8"/>
    </row>
    <row r="155" customFormat="false" ht="15" hidden="false" customHeight="false" outlineLevel="0" collapsed="false">
      <c r="A155" s="13"/>
      <c r="B155" s="13"/>
      <c r="C155" s="13"/>
      <c r="D155" s="13"/>
      <c r="E155" s="13"/>
      <c r="F155" s="13"/>
      <c r="G155" s="13"/>
      <c r="H155" s="14"/>
      <c r="I155" s="13"/>
      <c r="J155" s="13"/>
      <c r="K155" s="15" t="str">
        <f aca="false">IF(A155="","",COUNTIF(Quotes!$C$2:$C$301,A155))</f>
        <v/>
      </c>
      <c r="L155" s="15" t="str">
        <f aca="false">IF(A155="","",K155&gt;0)</f>
        <v/>
      </c>
      <c r="M155" s="15" t="str">
        <f aca="false">IF(A155="","",COUNTIF(Picks!$C$2:$C$301,A155))</f>
        <v/>
      </c>
      <c r="N155" s="17" t="str">
        <f aca="false">IF(A155="","",IF(M155=0,"no wins",K155/M155))</f>
        <v/>
      </c>
      <c r="O155" s="15" t="str">
        <f aca="false">IF(A155="","",COUNTIFS(Picks!$C$2:$C$301,A155,Picks!$H$2:$H$301,"Y"))</f>
        <v/>
      </c>
      <c r="P155" s="8"/>
      <c r="Q155" s="8"/>
    </row>
    <row r="156" customFormat="false" ht="15" hidden="false" customHeight="false" outlineLevel="0" collapsed="false">
      <c r="A156" s="13"/>
      <c r="B156" s="13"/>
      <c r="C156" s="13"/>
      <c r="D156" s="13"/>
      <c r="E156" s="13"/>
      <c r="F156" s="13"/>
      <c r="G156" s="13"/>
      <c r="H156" s="14"/>
      <c r="I156" s="13"/>
      <c r="J156" s="13"/>
      <c r="K156" s="15" t="str">
        <f aca="false">IF(A156="","",COUNTIF(Quotes!$C$2:$C$301,A156))</f>
        <v/>
      </c>
      <c r="L156" s="15" t="str">
        <f aca="false">IF(A156="","",K156&gt;0)</f>
        <v/>
      </c>
      <c r="M156" s="15" t="str">
        <f aca="false">IF(A156="","",COUNTIF(Picks!$C$2:$C$301,A156))</f>
        <v/>
      </c>
      <c r="N156" s="17" t="str">
        <f aca="false">IF(A156="","",IF(M156=0,"no wins",K156/M156))</f>
        <v/>
      </c>
      <c r="O156" s="15" t="str">
        <f aca="false">IF(A156="","",COUNTIFS(Picks!$C$2:$C$301,A156,Picks!$H$2:$H$301,"Y"))</f>
        <v/>
      </c>
      <c r="P156" s="8"/>
      <c r="Q156" s="8"/>
    </row>
    <row r="157" customFormat="false" ht="15" hidden="false" customHeight="false" outlineLevel="0" collapsed="false">
      <c r="A157" s="13"/>
      <c r="B157" s="13"/>
      <c r="C157" s="13"/>
      <c r="D157" s="13"/>
      <c r="E157" s="13"/>
      <c r="F157" s="13"/>
      <c r="G157" s="13"/>
      <c r="H157" s="14"/>
      <c r="I157" s="13"/>
      <c r="J157" s="13"/>
      <c r="K157" s="15" t="str">
        <f aca="false">IF(A157="","",COUNTIF(Quotes!$C$2:$C$301,A157))</f>
        <v/>
      </c>
      <c r="L157" s="15" t="str">
        <f aca="false">IF(A157="","",K157&gt;0)</f>
        <v/>
      </c>
      <c r="M157" s="15" t="str">
        <f aca="false">IF(A157="","",COUNTIF(Picks!$C$2:$C$301,A157))</f>
        <v/>
      </c>
      <c r="N157" s="17" t="str">
        <f aca="false">IF(A157="","",IF(M157=0,"no wins",K157/M157))</f>
        <v/>
      </c>
      <c r="O157" s="15" t="str">
        <f aca="false">IF(A157="","",COUNTIFS(Picks!$C$2:$C$301,A157,Picks!$H$2:$H$301,"Y"))</f>
        <v/>
      </c>
      <c r="P157" s="8"/>
      <c r="Q157" s="8"/>
    </row>
    <row r="158" customFormat="false" ht="15" hidden="false" customHeight="false" outlineLevel="0" collapsed="false">
      <c r="A158" s="13"/>
      <c r="B158" s="13"/>
      <c r="C158" s="13"/>
      <c r="D158" s="13"/>
      <c r="E158" s="13"/>
      <c r="F158" s="13"/>
      <c r="G158" s="13"/>
      <c r="H158" s="14"/>
      <c r="I158" s="13"/>
      <c r="J158" s="13"/>
      <c r="K158" s="15" t="str">
        <f aca="false">IF(A158="","",COUNTIF(Quotes!$C$2:$C$301,A158))</f>
        <v/>
      </c>
      <c r="L158" s="15" t="str">
        <f aca="false">IF(A158="","",K158&gt;0)</f>
        <v/>
      </c>
      <c r="M158" s="15" t="str">
        <f aca="false">IF(A158="","",COUNTIF(Picks!$C$2:$C$301,A158))</f>
        <v/>
      </c>
      <c r="N158" s="17" t="str">
        <f aca="false">IF(A158="","",IF(M158=0,"no wins",K158/M158))</f>
        <v/>
      </c>
      <c r="O158" s="15" t="str">
        <f aca="false">IF(A158="","",COUNTIFS(Picks!$C$2:$C$301,A158,Picks!$H$2:$H$301,"Y"))</f>
        <v/>
      </c>
      <c r="P158" s="8"/>
      <c r="Q158" s="8"/>
    </row>
    <row r="159" customFormat="false" ht="15" hidden="false" customHeight="false" outlineLevel="0" collapsed="false">
      <c r="A159" s="13"/>
      <c r="B159" s="13"/>
      <c r="C159" s="13"/>
      <c r="D159" s="13"/>
      <c r="E159" s="13"/>
      <c r="F159" s="13"/>
      <c r="G159" s="13"/>
      <c r="H159" s="14"/>
      <c r="I159" s="13"/>
      <c r="J159" s="13"/>
      <c r="K159" s="15" t="str">
        <f aca="false">IF(A159="","",COUNTIF(Quotes!$C$2:$C$301,A159))</f>
        <v/>
      </c>
      <c r="L159" s="15" t="str">
        <f aca="false">IF(A159="","",K159&gt;0)</f>
        <v/>
      </c>
      <c r="M159" s="15" t="str">
        <f aca="false">IF(A159="","",COUNTIF(Picks!$C$2:$C$301,A159))</f>
        <v/>
      </c>
      <c r="N159" s="17" t="str">
        <f aca="false">IF(A159="","",IF(M159=0,"no wins",K159/M159))</f>
        <v/>
      </c>
      <c r="O159" s="15" t="str">
        <f aca="false">IF(A159="","",COUNTIFS(Picks!$C$2:$C$301,A159,Picks!$H$2:$H$301,"Y"))</f>
        <v/>
      </c>
      <c r="P159" s="8"/>
      <c r="Q159" s="8"/>
    </row>
    <row r="160" customFormat="false" ht="15" hidden="false" customHeight="false" outlineLevel="0" collapsed="false">
      <c r="A160" s="13"/>
      <c r="B160" s="13"/>
      <c r="C160" s="13"/>
      <c r="D160" s="13"/>
      <c r="E160" s="13"/>
      <c r="F160" s="13"/>
      <c r="G160" s="13"/>
      <c r="H160" s="14"/>
      <c r="I160" s="13"/>
      <c r="J160" s="13"/>
      <c r="K160" s="15" t="str">
        <f aca="false">IF(A160="","",COUNTIF(Quotes!$C$2:$C$301,A160))</f>
        <v/>
      </c>
      <c r="L160" s="15" t="str">
        <f aca="false">IF(A160="","",K160&gt;0)</f>
        <v/>
      </c>
      <c r="M160" s="15" t="str">
        <f aca="false">IF(A160="","",COUNTIF(Picks!$C$2:$C$301,A160))</f>
        <v/>
      </c>
      <c r="N160" s="17" t="str">
        <f aca="false">IF(A160="","",IF(M160=0,"no wins",K160/M160))</f>
        <v/>
      </c>
      <c r="O160" s="15" t="str">
        <f aca="false">IF(A160="","",COUNTIFS(Picks!$C$2:$C$301,A160,Picks!$H$2:$H$301,"Y"))</f>
        <v/>
      </c>
      <c r="P160" s="8"/>
      <c r="Q160" s="8"/>
    </row>
    <row r="161" customFormat="false" ht="15" hidden="false" customHeight="false" outlineLevel="0" collapsed="false">
      <c r="A161" s="13"/>
      <c r="B161" s="13"/>
      <c r="C161" s="13"/>
      <c r="D161" s="13"/>
      <c r="E161" s="13"/>
      <c r="F161" s="13"/>
      <c r="G161" s="13"/>
      <c r="H161" s="14"/>
      <c r="I161" s="13"/>
      <c r="J161" s="13"/>
      <c r="K161" s="15" t="str">
        <f aca="false">IF(A161="","",COUNTIF(Quotes!$C$2:$C$301,A161))</f>
        <v/>
      </c>
      <c r="L161" s="15" t="str">
        <f aca="false">IF(A161="","",K161&gt;0)</f>
        <v/>
      </c>
      <c r="M161" s="15" t="str">
        <f aca="false">IF(A161="","",COUNTIF(Picks!$C$2:$C$301,A161))</f>
        <v/>
      </c>
      <c r="N161" s="17" t="str">
        <f aca="false">IF(A161="","",IF(M161=0,"no wins",K161/M161))</f>
        <v/>
      </c>
      <c r="O161" s="15" t="str">
        <f aca="false">IF(A161="","",COUNTIFS(Picks!$C$2:$C$301,A161,Picks!$H$2:$H$301,"Y"))</f>
        <v/>
      </c>
      <c r="P161" s="8"/>
      <c r="Q161" s="8"/>
    </row>
    <row r="162" customFormat="false" ht="15" hidden="false" customHeight="false" outlineLevel="0" collapsed="false">
      <c r="A162" s="13"/>
      <c r="B162" s="13"/>
      <c r="C162" s="13"/>
      <c r="D162" s="13"/>
      <c r="E162" s="13"/>
      <c r="F162" s="13"/>
      <c r="G162" s="13"/>
      <c r="H162" s="14"/>
      <c r="I162" s="13"/>
      <c r="J162" s="13"/>
      <c r="K162" s="15" t="str">
        <f aca="false">IF(A162="","",COUNTIF(Quotes!$C$2:$C$301,A162))</f>
        <v/>
      </c>
      <c r="L162" s="15" t="str">
        <f aca="false">IF(A162="","",K162&gt;0)</f>
        <v/>
      </c>
      <c r="M162" s="15" t="str">
        <f aca="false">IF(A162="","",COUNTIF(Picks!$C$2:$C$301,A162))</f>
        <v/>
      </c>
      <c r="N162" s="17" t="str">
        <f aca="false">IF(A162="","",IF(M162=0,"no wins",K162/M162))</f>
        <v/>
      </c>
      <c r="O162" s="15" t="str">
        <f aca="false">IF(A162="","",COUNTIFS(Picks!$C$2:$C$301,A162,Picks!$H$2:$H$301,"Y"))</f>
        <v/>
      </c>
      <c r="P162" s="8"/>
      <c r="Q162" s="8"/>
    </row>
    <row r="163" customFormat="false" ht="15" hidden="false" customHeight="false" outlineLevel="0" collapsed="false">
      <c r="A163" s="13"/>
      <c r="B163" s="13"/>
      <c r="C163" s="13"/>
      <c r="D163" s="13"/>
      <c r="E163" s="13"/>
      <c r="F163" s="13"/>
      <c r="G163" s="13"/>
      <c r="H163" s="14"/>
      <c r="I163" s="13"/>
      <c r="J163" s="13"/>
      <c r="K163" s="15" t="str">
        <f aca="false">IF(A163="","",COUNTIF(Quotes!$C$2:$C$301,A163))</f>
        <v/>
      </c>
      <c r="L163" s="15" t="str">
        <f aca="false">IF(A163="","",K163&gt;0)</f>
        <v/>
      </c>
      <c r="M163" s="15" t="str">
        <f aca="false">IF(A163="","",COUNTIF(Picks!$C$2:$C$301,A163))</f>
        <v/>
      </c>
      <c r="N163" s="17" t="str">
        <f aca="false">IF(A163="","",IF(M163=0,"no wins",K163/M163))</f>
        <v/>
      </c>
      <c r="O163" s="15" t="str">
        <f aca="false">IF(A163="","",COUNTIFS(Picks!$C$2:$C$301,A163,Picks!$H$2:$H$301,"Y"))</f>
        <v/>
      </c>
      <c r="P163" s="8"/>
      <c r="Q163" s="8"/>
    </row>
    <row r="164" customFormat="false" ht="15" hidden="false" customHeight="false" outlineLevel="0" collapsed="false">
      <c r="A164" s="13"/>
      <c r="B164" s="13"/>
      <c r="C164" s="13"/>
      <c r="D164" s="13"/>
      <c r="E164" s="13"/>
      <c r="F164" s="13"/>
      <c r="G164" s="13"/>
      <c r="H164" s="14"/>
      <c r="I164" s="13"/>
      <c r="J164" s="13"/>
      <c r="K164" s="15" t="str">
        <f aca="false">IF(A164="","",COUNTIF(Quotes!$C$2:$C$301,A164))</f>
        <v/>
      </c>
      <c r="L164" s="15" t="str">
        <f aca="false">IF(A164="","",K164&gt;0)</f>
        <v/>
      </c>
      <c r="M164" s="15" t="str">
        <f aca="false">IF(A164="","",COUNTIF(Picks!$C$2:$C$301,A164))</f>
        <v/>
      </c>
      <c r="N164" s="17" t="str">
        <f aca="false">IF(A164="","",IF(M164=0,"no wins",K164/M164))</f>
        <v/>
      </c>
      <c r="O164" s="15" t="str">
        <f aca="false">IF(A164="","",COUNTIFS(Picks!$C$2:$C$301,A164,Picks!$H$2:$H$301,"Y"))</f>
        <v/>
      </c>
      <c r="P164" s="8"/>
      <c r="Q164" s="8"/>
    </row>
    <row r="165" customFormat="false" ht="15" hidden="false" customHeight="false" outlineLevel="0" collapsed="false">
      <c r="A165" s="13"/>
      <c r="B165" s="13"/>
      <c r="C165" s="13"/>
      <c r="D165" s="13"/>
      <c r="E165" s="13"/>
      <c r="F165" s="13"/>
      <c r="G165" s="13"/>
      <c r="H165" s="14"/>
      <c r="I165" s="13"/>
      <c r="J165" s="13"/>
      <c r="K165" s="15" t="str">
        <f aca="false">IF(A165="","",COUNTIF(Quotes!$C$2:$C$301,A165))</f>
        <v/>
      </c>
      <c r="L165" s="15" t="str">
        <f aca="false">IF(A165="","",K165&gt;0)</f>
        <v/>
      </c>
      <c r="M165" s="15" t="str">
        <f aca="false">IF(A165="","",COUNTIF(Picks!$C$2:$C$301,A165))</f>
        <v/>
      </c>
      <c r="N165" s="17" t="str">
        <f aca="false">IF(A165="","",IF(M165=0,"no wins",K165/M165))</f>
        <v/>
      </c>
      <c r="O165" s="15" t="str">
        <f aca="false">IF(A165="","",COUNTIFS(Picks!$C$2:$C$301,A165,Picks!$H$2:$H$301,"Y"))</f>
        <v/>
      </c>
      <c r="P165" s="8"/>
      <c r="Q165" s="8"/>
    </row>
    <row r="166" customFormat="false" ht="15" hidden="false" customHeight="false" outlineLevel="0" collapsed="false">
      <c r="A166" s="13"/>
      <c r="B166" s="13"/>
      <c r="C166" s="13"/>
      <c r="D166" s="13"/>
      <c r="E166" s="13"/>
      <c r="F166" s="13"/>
      <c r="G166" s="13"/>
      <c r="H166" s="14"/>
      <c r="I166" s="13"/>
      <c r="J166" s="13"/>
      <c r="K166" s="15" t="str">
        <f aca="false">IF(A166="","",COUNTIF(Quotes!$C$2:$C$301,A166))</f>
        <v/>
      </c>
      <c r="L166" s="15" t="str">
        <f aca="false">IF(A166="","",K166&gt;0)</f>
        <v/>
      </c>
      <c r="M166" s="15" t="str">
        <f aca="false">IF(A166="","",COUNTIF(Picks!$C$2:$C$301,A166))</f>
        <v/>
      </c>
      <c r="N166" s="17" t="str">
        <f aca="false">IF(A166="","",IF(M166=0,"no wins",K166/M166))</f>
        <v/>
      </c>
      <c r="O166" s="15" t="str">
        <f aca="false">IF(A166="","",COUNTIFS(Picks!$C$2:$C$301,A166,Picks!$H$2:$H$301,"Y"))</f>
        <v/>
      </c>
      <c r="P166" s="8"/>
      <c r="Q166" s="8"/>
    </row>
    <row r="167" customFormat="false" ht="15" hidden="false" customHeight="false" outlineLevel="0" collapsed="false">
      <c r="A167" s="13"/>
      <c r="B167" s="13"/>
      <c r="C167" s="13"/>
      <c r="D167" s="13"/>
      <c r="E167" s="13"/>
      <c r="F167" s="13"/>
      <c r="G167" s="13"/>
      <c r="H167" s="14"/>
      <c r="I167" s="13"/>
      <c r="J167" s="13"/>
      <c r="K167" s="15" t="str">
        <f aca="false">IF(A167="","",COUNTIF(Quotes!$C$2:$C$301,A167))</f>
        <v/>
      </c>
      <c r="L167" s="15" t="str">
        <f aca="false">IF(A167="","",K167&gt;0)</f>
        <v/>
      </c>
      <c r="M167" s="15" t="str">
        <f aca="false">IF(A167="","",COUNTIF(Picks!$C$2:$C$301,A167))</f>
        <v/>
      </c>
      <c r="N167" s="17" t="str">
        <f aca="false">IF(A167="","",IF(M167=0,"no wins",K167/M167))</f>
        <v/>
      </c>
      <c r="O167" s="15" t="str">
        <f aca="false">IF(A167="","",COUNTIFS(Picks!$C$2:$C$301,A167,Picks!$H$2:$H$301,"Y"))</f>
        <v/>
      </c>
      <c r="P167" s="8"/>
      <c r="Q167" s="8"/>
    </row>
    <row r="168" customFormat="false" ht="15" hidden="false" customHeight="false" outlineLevel="0" collapsed="false">
      <c r="A168" s="13"/>
      <c r="B168" s="13"/>
      <c r="C168" s="13"/>
      <c r="D168" s="13"/>
      <c r="E168" s="13"/>
      <c r="F168" s="13"/>
      <c r="G168" s="13"/>
      <c r="H168" s="14"/>
      <c r="I168" s="13"/>
      <c r="J168" s="13"/>
      <c r="K168" s="15" t="str">
        <f aca="false">IF(A168="","",COUNTIF(Quotes!$C$2:$C$301,A168))</f>
        <v/>
      </c>
      <c r="L168" s="15" t="str">
        <f aca="false">IF(A168="","",K168&gt;0)</f>
        <v/>
      </c>
      <c r="M168" s="15" t="str">
        <f aca="false">IF(A168="","",COUNTIF(Picks!$C$2:$C$301,A168))</f>
        <v/>
      </c>
      <c r="N168" s="17" t="str">
        <f aca="false">IF(A168="","",IF(M168=0,"no wins",K168/M168))</f>
        <v/>
      </c>
      <c r="O168" s="15" t="str">
        <f aca="false">IF(A168="","",COUNTIFS(Picks!$C$2:$C$301,A168,Picks!$H$2:$H$301,"Y"))</f>
        <v/>
      </c>
      <c r="P168" s="8"/>
      <c r="Q168" s="8"/>
    </row>
    <row r="169" customFormat="false" ht="15" hidden="false" customHeight="false" outlineLevel="0" collapsed="false">
      <c r="A169" s="13"/>
      <c r="B169" s="13"/>
      <c r="C169" s="13"/>
      <c r="D169" s="13"/>
      <c r="E169" s="13"/>
      <c r="F169" s="13"/>
      <c r="G169" s="13"/>
      <c r="H169" s="14"/>
      <c r="I169" s="13"/>
      <c r="J169" s="13"/>
      <c r="K169" s="15" t="str">
        <f aca="false">IF(A169="","",COUNTIF(Quotes!$C$2:$C$301,A169))</f>
        <v/>
      </c>
      <c r="L169" s="15" t="str">
        <f aca="false">IF(A169="","",K169&gt;0)</f>
        <v/>
      </c>
      <c r="M169" s="15" t="str">
        <f aca="false">IF(A169="","",COUNTIF(Picks!$C$2:$C$301,A169))</f>
        <v/>
      </c>
      <c r="N169" s="17" t="str">
        <f aca="false">IF(A169="","",IF(M169=0,"no wins",K169/M169))</f>
        <v/>
      </c>
      <c r="O169" s="15" t="str">
        <f aca="false">IF(A169="","",COUNTIFS(Picks!$C$2:$C$301,A169,Picks!$H$2:$H$301,"Y"))</f>
        <v/>
      </c>
      <c r="P169" s="8"/>
      <c r="Q169" s="8"/>
    </row>
    <row r="170" customFormat="false" ht="15" hidden="false" customHeight="false" outlineLevel="0" collapsed="false">
      <c r="A170" s="13"/>
      <c r="B170" s="13"/>
      <c r="C170" s="13"/>
      <c r="D170" s="13"/>
      <c r="E170" s="13"/>
      <c r="F170" s="13"/>
      <c r="G170" s="13"/>
      <c r="H170" s="14"/>
      <c r="I170" s="13"/>
      <c r="J170" s="13"/>
      <c r="K170" s="15" t="str">
        <f aca="false">IF(A170="","",COUNTIF(Quotes!$C$2:$C$301,A170))</f>
        <v/>
      </c>
      <c r="L170" s="15" t="str">
        <f aca="false">IF(A170="","",K170&gt;0)</f>
        <v/>
      </c>
      <c r="M170" s="15" t="str">
        <f aca="false">IF(A170="","",COUNTIF(Picks!$C$2:$C$301,A170))</f>
        <v/>
      </c>
      <c r="N170" s="17" t="str">
        <f aca="false">IF(A170="","",IF(M170=0,"no wins",K170/M170))</f>
        <v/>
      </c>
      <c r="O170" s="15" t="str">
        <f aca="false">IF(A170="","",COUNTIFS(Picks!$C$2:$C$301,A170,Picks!$H$2:$H$301,"Y"))</f>
        <v/>
      </c>
      <c r="P170" s="8"/>
      <c r="Q170" s="8"/>
    </row>
    <row r="171" customFormat="false" ht="15" hidden="false" customHeight="false" outlineLevel="0" collapsed="false">
      <c r="A171" s="13"/>
      <c r="B171" s="13"/>
      <c r="C171" s="13"/>
      <c r="D171" s="13"/>
      <c r="E171" s="13"/>
      <c r="F171" s="13"/>
      <c r="G171" s="13"/>
      <c r="H171" s="14"/>
      <c r="I171" s="13"/>
      <c r="J171" s="13"/>
      <c r="K171" s="15" t="str">
        <f aca="false">IF(A171="","",COUNTIF(Quotes!$C$2:$C$301,A171))</f>
        <v/>
      </c>
      <c r="L171" s="15" t="str">
        <f aca="false">IF(A171="","",K171&gt;0)</f>
        <v/>
      </c>
      <c r="M171" s="15" t="str">
        <f aca="false">IF(A171="","",COUNTIF(Picks!$C$2:$C$301,A171))</f>
        <v/>
      </c>
      <c r="N171" s="17" t="str">
        <f aca="false">IF(A171="","",IF(M171=0,"no wins",K171/M171))</f>
        <v/>
      </c>
      <c r="O171" s="15" t="str">
        <f aca="false">IF(A171="","",COUNTIFS(Picks!$C$2:$C$301,A171,Picks!$H$2:$H$301,"Y"))</f>
        <v/>
      </c>
      <c r="P171" s="8"/>
      <c r="Q171" s="8"/>
    </row>
    <row r="172" customFormat="false" ht="15" hidden="false" customHeight="false" outlineLevel="0" collapsed="false">
      <c r="A172" s="13"/>
      <c r="B172" s="13"/>
      <c r="C172" s="13"/>
      <c r="D172" s="13"/>
      <c r="E172" s="13"/>
      <c r="F172" s="13"/>
      <c r="G172" s="13"/>
      <c r="H172" s="14"/>
      <c r="I172" s="13"/>
      <c r="J172" s="13"/>
      <c r="K172" s="15" t="str">
        <f aca="false">IF(A172="","",COUNTIF(Quotes!$C$2:$C$301,A172))</f>
        <v/>
      </c>
      <c r="L172" s="15" t="str">
        <f aca="false">IF(A172="","",K172&gt;0)</f>
        <v/>
      </c>
      <c r="M172" s="15" t="str">
        <f aca="false">IF(A172="","",COUNTIF(Picks!$C$2:$C$301,A172))</f>
        <v/>
      </c>
      <c r="N172" s="17" t="str">
        <f aca="false">IF(A172="","",IF(M172=0,"no wins",K172/M172))</f>
        <v/>
      </c>
      <c r="O172" s="15" t="str">
        <f aca="false">IF(A172="","",COUNTIFS(Picks!$C$2:$C$301,A172,Picks!$H$2:$H$301,"Y"))</f>
        <v/>
      </c>
      <c r="P172" s="8"/>
      <c r="Q172" s="8"/>
    </row>
    <row r="173" customFormat="false" ht="15" hidden="false" customHeight="false" outlineLevel="0" collapsed="false">
      <c r="A173" s="13"/>
      <c r="B173" s="13"/>
      <c r="C173" s="13"/>
      <c r="D173" s="13"/>
      <c r="E173" s="13"/>
      <c r="F173" s="13"/>
      <c r="G173" s="13"/>
      <c r="H173" s="14"/>
      <c r="I173" s="13"/>
      <c r="J173" s="13"/>
      <c r="K173" s="15" t="str">
        <f aca="false">IF(A173="","",COUNTIF(Quotes!$C$2:$C$301,A173))</f>
        <v/>
      </c>
      <c r="L173" s="15" t="str">
        <f aca="false">IF(A173="","",K173&gt;0)</f>
        <v/>
      </c>
      <c r="M173" s="15" t="str">
        <f aca="false">IF(A173="","",COUNTIF(Picks!$C$2:$C$301,A173))</f>
        <v/>
      </c>
      <c r="N173" s="17" t="str">
        <f aca="false">IF(A173="","",IF(M173=0,"no wins",K173/M173))</f>
        <v/>
      </c>
      <c r="O173" s="15" t="str">
        <f aca="false">IF(A173="","",COUNTIFS(Picks!$C$2:$C$301,A173,Picks!$H$2:$H$301,"Y"))</f>
        <v/>
      </c>
      <c r="P173" s="8"/>
      <c r="Q173" s="8"/>
    </row>
    <row r="174" customFormat="false" ht="15" hidden="false" customHeight="false" outlineLevel="0" collapsed="false">
      <c r="A174" s="13"/>
      <c r="B174" s="13"/>
      <c r="C174" s="13"/>
      <c r="D174" s="13"/>
      <c r="E174" s="13"/>
      <c r="F174" s="13"/>
      <c r="G174" s="13"/>
      <c r="H174" s="14"/>
      <c r="I174" s="13"/>
      <c r="J174" s="13"/>
      <c r="K174" s="15" t="str">
        <f aca="false">IF(A174="","",COUNTIF(Quotes!$C$2:$C$301,A174))</f>
        <v/>
      </c>
      <c r="L174" s="15" t="str">
        <f aca="false">IF(A174="","",K174&gt;0)</f>
        <v/>
      </c>
      <c r="M174" s="15" t="str">
        <f aca="false">IF(A174="","",COUNTIF(Picks!$C$2:$C$301,A174))</f>
        <v/>
      </c>
      <c r="N174" s="17" t="str">
        <f aca="false">IF(A174="","",IF(M174=0,"no wins",K174/M174))</f>
        <v/>
      </c>
      <c r="O174" s="15" t="str">
        <f aca="false">IF(A174="","",COUNTIFS(Picks!$C$2:$C$301,A174,Picks!$H$2:$H$301,"Y"))</f>
        <v/>
      </c>
      <c r="P174" s="8"/>
      <c r="Q174" s="8"/>
    </row>
    <row r="175" customFormat="false" ht="15" hidden="false" customHeight="false" outlineLevel="0" collapsed="false">
      <c r="A175" s="13"/>
      <c r="B175" s="13"/>
      <c r="C175" s="13"/>
      <c r="D175" s="13"/>
      <c r="E175" s="13"/>
      <c r="F175" s="13"/>
      <c r="G175" s="13"/>
      <c r="H175" s="14"/>
      <c r="I175" s="13"/>
      <c r="J175" s="13"/>
      <c r="K175" s="15" t="str">
        <f aca="false">IF(A175="","",COUNTIF(Quotes!$C$2:$C$301,A175))</f>
        <v/>
      </c>
      <c r="L175" s="15" t="str">
        <f aca="false">IF(A175="","",K175&gt;0)</f>
        <v/>
      </c>
      <c r="M175" s="15" t="str">
        <f aca="false">IF(A175="","",COUNTIF(Picks!$C$2:$C$301,A175))</f>
        <v/>
      </c>
      <c r="N175" s="17" t="str">
        <f aca="false">IF(A175="","",IF(M175=0,"no wins",K175/M175))</f>
        <v/>
      </c>
      <c r="O175" s="15" t="str">
        <f aca="false">IF(A175="","",COUNTIFS(Picks!$C$2:$C$301,A175,Picks!$H$2:$H$301,"Y"))</f>
        <v/>
      </c>
      <c r="P175" s="8"/>
      <c r="Q175" s="8"/>
    </row>
    <row r="176" customFormat="false" ht="15" hidden="false" customHeight="false" outlineLevel="0" collapsed="false">
      <c r="A176" s="13"/>
      <c r="B176" s="13"/>
      <c r="C176" s="13"/>
      <c r="D176" s="13"/>
      <c r="E176" s="13"/>
      <c r="F176" s="13"/>
      <c r="G176" s="13"/>
      <c r="H176" s="14"/>
      <c r="I176" s="13"/>
      <c r="J176" s="13"/>
      <c r="K176" s="15" t="str">
        <f aca="false">IF(A176="","",COUNTIF(Quotes!$C$2:$C$301,A176))</f>
        <v/>
      </c>
      <c r="L176" s="15" t="str">
        <f aca="false">IF(A176="","",K176&gt;0)</f>
        <v/>
      </c>
      <c r="M176" s="15" t="str">
        <f aca="false">IF(A176="","",COUNTIF(Picks!$C$2:$C$301,A176))</f>
        <v/>
      </c>
      <c r="N176" s="17" t="str">
        <f aca="false">IF(A176="","",IF(M176=0,"no wins",K176/M176))</f>
        <v/>
      </c>
      <c r="O176" s="15" t="str">
        <f aca="false">IF(A176="","",COUNTIFS(Picks!$C$2:$C$301,A176,Picks!$H$2:$H$301,"Y"))</f>
        <v/>
      </c>
      <c r="P176" s="8"/>
      <c r="Q176" s="8"/>
    </row>
    <row r="177" customFormat="false" ht="15" hidden="false" customHeight="false" outlineLevel="0" collapsed="false">
      <c r="A177" s="13"/>
      <c r="B177" s="13"/>
      <c r="C177" s="13"/>
      <c r="D177" s="13"/>
      <c r="E177" s="13"/>
      <c r="F177" s="13"/>
      <c r="G177" s="13"/>
      <c r="H177" s="14"/>
      <c r="I177" s="13"/>
      <c r="J177" s="13"/>
      <c r="K177" s="15" t="str">
        <f aca="false">IF(A177="","",COUNTIF(Quotes!$C$2:$C$301,A177))</f>
        <v/>
      </c>
      <c r="L177" s="15" t="str">
        <f aca="false">IF(A177="","",K177&gt;0)</f>
        <v/>
      </c>
      <c r="M177" s="15" t="str">
        <f aca="false">IF(A177="","",COUNTIF(Picks!$C$2:$C$301,A177))</f>
        <v/>
      </c>
      <c r="N177" s="17" t="str">
        <f aca="false">IF(A177="","",IF(M177=0,"no wins",K177/M177))</f>
        <v/>
      </c>
      <c r="O177" s="15" t="str">
        <f aca="false">IF(A177="","",COUNTIFS(Picks!$C$2:$C$301,A177,Picks!$H$2:$H$301,"Y"))</f>
        <v/>
      </c>
      <c r="P177" s="8"/>
      <c r="Q177" s="8"/>
    </row>
    <row r="178" customFormat="false" ht="15" hidden="false" customHeight="false" outlineLevel="0" collapsed="false">
      <c r="A178" s="13"/>
      <c r="B178" s="13"/>
      <c r="C178" s="13"/>
      <c r="D178" s="13"/>
      <c r="E178" s="13"/>
      <c r="F178" s="13"/>
      <c r="G178" s="13"/>
      <c r="H178" s="14"/>
      <c r="I178" s="13"/>
      <c r="J178" s="13"/>
      <c r="K178" s="15" t="str">
        <f aca="false">IF(A178="","",COUNTIF(Quotes!$C$2:$C$301,A178))</f>
        <v/>
      </c>
      <c r="L178" s="15" t="str">
        <f aca="false">IF(A178="","",K178&gt;0)</f>
        <v/>
      </c>
      <c r="M178" s="15" t="str">
        <f aca="false">IF(A178="","",COUNTIF(Picks!$C$2:$C$301,A178))</f>
        <v/>
      </c>
      <c r="N178" s="17" t="str">
        <f aca="false">IF(A178="","",IF(M178=0,"no wins",K178/M178))</f>
        <v/>
      </c>
      <c r="O178" s="15" t="str">
        <f aca="false">IF(A178="","",COUNTIFS(Picks!$C$2:$C$301,A178,Picks!$H$2:$H$301,"Y"))</f>
        <v/>
      </c>
      <c r="P178" s="8"/>
      <c r="Q178" s="8"/>
    </row>
    <row r="179" customFormat="false" ht="15" hidden="false" customHeight="false" outlineLevel="0" collapsed="false">
      <c r="A179" s="13"/>
      <c r="B179" s="13"/>
      <c r="C179" s="13"/>
      <c r="D179" s="13"/>
      <c r="E179" s="13"/>
      <c r="F179" s="13"/>
      <c r="G179" s="13"/>
      <c r="H179" s="14"/>
      <c r="I179" s="13"/>
      <c r="J179" s="13"/>
      <c r="K179" s="15" t="str">
        <f aca="false">IF(A179="","",COUNTIF(Quotes!$C$2:$C$301,A179))</f>
        <v/>
      </c>
      <c r="L179" s="15" t="str">
        <f aca="false">IF(A179="","",K179&gt;0)</f>
        <v/>
      </c>
      <c r="M179" s="15" t="str">
        <f aca="false">IF(A179="","",COUNTIF(Picks!$C$2:$C$301,A179))</f>
        <v/>
      </c>
      <c r="N179" s="17" t="str">
        <f aca="false">IF(A179="","",IF(M179=0,"no wins",K179/M179))</f>
        <v/>
      </c>
      <c r="O179" s="15" t="str">
        <f aca="false">IF(A179="","",COUNTIFS(Picks!$C$2:$C$301,A179,Picks!$H$2:$H$301,"Y"))</f>
        <v/>
      </c>
      <c r="P179" s="8"/>
      <c r="Q179" s="8"/>
    </row>
    <row r="180" customFormat="false" ht="15" hidden="false" customHeight="false" outlineLevel="0" collapsed="false">
      <c r="A180" s="13"/>
      <c r="B180" s="13"/>
      <c r="C180" s="13"/>
      <c r="D180" s="13"/>
      <c r="E180" s="13"/>
      <c r="F180" s="13"/>
      <c r="G180" s="13"/>
      <c r="H180" s="14"/>
      <c r="I180" s="13"/>
      <c r="J180" s="13"/>
      <c r="K180" s="15" t="str">
        <f aca="false">IF(A180="","",COUNTIF(Quotes!$C$2:$C$301,A180))</f>
        <v/>
      </c>
      <c r="L180" s="15" t="str">
        <f aca="false">IF(A180="","",K180&gt;0)</f>
        <v/>
      </c>
      <c r="M180" s="15" t="str">
        <f aca="false">IF(A180="","",COUNTIF(Picks!$C$2:$C$301,A180))</f>
        <v/>
      </c>
      <c r="N180" s="17" t="str">
        <f aca="false">IF(A180="","",IF(M180=0,"no wins",K180/M180))</f>
        <v/>
      </c>
      <c r="O180" s="15" t="str">
        <f aca="false">IF(A180="","",COUNTIFS(Picks!$C$2:$C$301,A180,Picks!$H$2:$H$301,"Y"))</f>
        <v/>
      </c>
      <c r="P180" s="8"/>
      <c r="Q180" s="8"/>
    </row>
    <row r="181" customFormat="false" ht="15" hidden="false" customHeight="false" outlineLevel="0" collapsed="false">
      <c r="A181" s="13"/>
      <c r="B181" s="13"/>
      <c r="C181" s="13"/>
      <c r="D181" s="13"/>
      <c r="E181" s="13"/>
      <c r="F181" s="13"/>
      <c r="G181" s="13"/>
      <c r="H181" s="14"/>
      <c r="I181" s="13"/>
      <c r="J181" s="13"/>
      <c r="K181" s="15" t="str">
        <f aca="false">IF(A181="","",COUNTIF(Quotes!$C$2:$C$301,A181))</f>
        <v/>
      </c>
      <c r="L181" s="15" t="str">
        <f aca="false">IF(A181="","",K181&gt;0)</f>
        <v/>
      </c>
      <c r="M181" s="15" t="str">
        <f aca="false">IF(A181="","",COUNTIF(Picks!$C$2:$C$301,A181))</f>
        <v/>
      </c>
      <c r="N181" s="17" t="str">
        <f aca="false">IF(A181="","",IF(M181=0,"no wins",K181/M181))</f>
        <v/>
      </c>
      <c r="O181" s="15" t="str">
        <f aca="false">IF(A181="","",COUNTIFS(Picks!$C$2:$C$301,A181,Picks!$H$2:$H$301,"Y"))</f>
        <v/>
      </c>
      <c r="P181" s="8"/>
      <c r="Q181" s="8"/>
    </row>
    <row r="182" customFormat="false" ht="15" hidden="false" customHeight="false" outlineLevel="0" collapsed="false">
      <c r="A182" s="13"/>
      <c r="B182" s="13"/>
      <c r="C182" s="13"/>
      <c r="D182" s="13"/>
      <c r="E182" s="13"/>
      <c r="F182" s="13"/>
      <c r="G182" s="13"/>
      <c r="H182" s="14"/>
      <c r="I182" s="13"/>
      <c r="J182" s="13"/>
      <c r="K182" s="15" t="str">
        <f aca="false">IF(A182="","",COUNTIF(Quotes!$C$2:$C$301,A182))</f>
        <v/>
      </c>
      <c r="L182" s="15" t="str">
        <f aca="false">IF(A182="","",K182&gt;0)</f>
        <v/>
      </c>
      <c r="M182" s="15" t="str">
        <f aca="false">IF(A182="","",COUNTIF(Picks!$C$2:$C$301,A182))</f>
        <v/>
      </c>
      <c r="N182" s="17" t="str">
        <f aca="false">IF(A182="","",IF(M182=0,"no wins",K182/M182))</f>
        <v/>
      </c>
      <c r="O182" s="15" t="str">
        <f aca="false">IF(A182="","",COUNTIFS(Picks!$C$2:$C$301,A182,Picks!$H$2:$H$301,"Y"))</f>
        <v/>
      </c>
      <c r="P182" s="8"/>
      <c r="Q182" s="8"/>
    </row>
    <row r="183" customFormat="false" ht="15" hidden="false" customHeight="false" outlineLevel="0" collapsed="false">
      <c r="A183" s="13"/>
      <c r="B183" s="13"/>
      <c r="C183" s="13"/>
      <c r="D183" s="13"/>
      <c r="E183" s="13"/>
      <c r="F183" s="13"/>
      <c r="G183" s="13"/>
      <c r="H183" s="14"/>
      <c r="I183" s="13"/>
      <c r="J183" s="13"/>
      <c r="K183" s="15" t="str">
        <f aca="false">IF(A183="","",COUNTIF(Quotes!$C$2:$C$301,A183))</f>
        <v/>
      </c>
      <c r="L183" s="15" t="str">
        <f aca="false">IF(A183="","",K183&gt;0)</f>
        <v/>
      </c>
      <c r="M183" s="15" t="str">
        <f aca="false">IF(A183="","",COUNTIF(Picks!$C$2:$C$301,A183))</f>
        <v/>
      </c>
      <c r="N183" s="17" t="str">
        <f aca="false">IF(A183="","",IF(M183=0,"no wins",K183/M183))</f>
        <v/>
      </c>
      <c r="O183" s="15" t="str">
        <f aca="false">IF(A183="","",COUNTIFS(Picks!$C$2:$C$301,A183,Picks!$H$2:$H$301,"Y"))</f>
        <v/>
      </c>
      <c r="P183" s="8"/>
      <c r="Q183" s="8"/>
    </row>
    <row r="184" customFormat="false" ht="15" hidden="false" customHeight="false" outlineLevel="0" collapsed="false">
      <c r="A184" s="13"/>
      <c r="B184" s="13"/>
      <c r="C184" s="13"/>
      <c r="D184" s="13"/>
      <c r="E184" s="13"/>
      <c r="F184" s="13"/>
      <c r="G184" s="13"/>
      <c r="H184" s="14"/>
      <c r="I184" s="13"/>
      <c r="J184" s="13"/>
      <c r="K184" s="15" t="str">
        <f aca="false">IF(A184="","",COUNTIF(Quotes!$C$2:$C$301,A184))</f>
        <v/>
      </c>
      <c r="L184" s="15" t="str">
        <f aca="false">IF(A184="","",K184&gt;0)</f>
        <v/>
      </c>
      <c r="M184" s="15" t="str">
        <f aca="false">IF(A184="","",COUNTIF(Picks!$C$2:$C$301,A184))</f>
        <v/>
      </c>
      <c r="N184" s="17" t="str">
        <f aca="false">IF(A184="","",IF(M184=0,"no wins",K184/M184))</f>
        <v/>
      </c>
      <c r="O184" s="15" t="str">
        <f aca="false">IF(A184="","",COUNTIFS(Picks!$C$2:$C$301,A184,Picks!$H$2:$H$301,"Y"))</f>
        <v/>
      </c>
      <c r="P184" s="8"/>
      <c r="Q184" s="8"/>
    </row>
    <row r="185" customFormat="false" ht="15" hidden="false" customHeight="false" outlineLevel="0" collapsed="false">
      <c r="A185" s="13"/>
      <c r="B185" s="13"/>
      <c r="C185" s="13"/>
      <c r="D185" s="13"/>
      <c r="E185" s="13"/>
      <c r="F185" s="13"/>
      <c r="G185" s="13"/>
      <c r="H185" s="14"/>
      <c r="I185" s="13"/>
      <c r="J185" s="13"/>
      <c r="K185" s="15" t="str">
        <f aca="false">IF(A185="","",COUNTIF(Quotes!$C$2:$C$301,A185))</f>
        <v/>
      </c>
      <c r="L185" s="15" t="str">
        <f aca="false">IF(A185="","",K185&gt;0)</f>
        <v/>
      </c>
      <c r="M185" s="15" t="str">
        <f aca="false">IF(A185="","",COUNTIF(Picks!$C$2:$C$301,A185))</f>
        <v/>
      </c>
      <c r="N185" s="17" t="str">
        <f aca="false">IF(A185="","",IF(M185=0,"no wins",K185/M185))</f>
        <v/>
      </c>
      <c r="O185" s="15" t="str">
        <f aca="false">IF(A185="","",COUNTIFS(Picks!$C$2:$C$301,A185,Picks!$H$2:$H$301,"Y"))</f>
        <v/>
      </c>
      <c r="P185" s="8"/>
      <c r="Q185" s="8"/>
    </row>
    <row r="186" customFormat="false" ht="15" hidden="false" customHeight="false" outlineLevel="0" collapsed="false">
      <c r="A186" s="13"/>
      <c r="B186" s="13"/>
      <c r="C186" s="13"/>
      <c r="D186" s="13"/>
      <c r="E186" s="13"/>
      <c r="F186" s="13"/>
      <c r="G186" s="13"/>
      <c r="H186" s="14"/>
      <c r="I186" s="13"/>
      <c r="J186" s="13"/>
      <c r="K186" s="15" t="str">
        <f aca="false">IF(A186="","",COUNTIF(Quotes!$C$2:$C$301,A186))</f>
        <v/>
      </c>
      <c r="L186" s="15" t="str">
        <f aca="false">IF(A186="","",K186&gt;0)</f>
        <v/>
      </c>
      <c r="M186" s="15" t="str">
        <f aca="false">IF(A186="","",COUNTIF(Picks!$C$2:$C$301,A186))</f>
        <v/>
      </c>
      <c r="N186" s="17" t="str">
        <f aca="false">IF(A186="","",IF(M186=0,"no wins",K186/M186))</f>
        <v/>
      </c>
      <c r="O186" s="15" t="str">
        <f aca="false">IF(A186="","",COUNTIFS(Picks!$C$2:$C$301,A186,Picks!$H$2:$H$301,"Y"))</f>
        <v/>
      </c>
      <c r="P186" s="8"/>
      <c r="Q186" s="8"/>
    </row>
    <row r="187" customFormat="false" ht="15" hidden="false" customHeight="false" outlineLevel="0" collapsed="false">
      <c r="A187" s="13"/>
      <c r="B187" s="13"/>
      <c r="C187" s="13"/>
      <c r="D187" s="13"/>
      <c r="E187" s="13"/>
      <c r="F187" s="13"/>
      <c r="G187" s="13"/>
      <c r="H187" s="14"/>
      <c r="I187" s="13"/>
      <c r="J187" s="13"/>
      <c r="K187" s="15" t="str">
        <f aca="false">IF(A187="","",COUNTIF(Quotes!$C$2:$C$301,A187))</f>
        <v/>
      </c>
      <c r="L187" s="15" t="str">
        <f aca="false">IF(A187="","",K187&gt;0)</f>
        <v/>
      </c>
      <c r="M187" s="15" t="str">
        <f aca="false">IF(A187="","",COUNTIF(Picks!$C$2:$C$301,A187))</f>
        <v/>
      </c>
      <c r="N187" s="17" t="str">
        <f aca="false">IF(A187="","",IF(M187=0,"no wins",K187/M187))</f>
        <v/>
      </c>
      <c r="O187" s="15" t="str">
        <f aca="false">IF(A187="","",COUNTIFS(Picks!$C$2:$C$301,A187,Picks!$H$2:$H$301,"Y"))</f>
        <v/>
      </c>
      <c r="P187" s="8"/>
      <c r="Q187" s="8"/>
    </row>
    <row r="188" customFormat="false" ht="15" hidden="false" customHeight="false" outlineLevel="0" collapsed="false">
      <c r="A188" s="13"/>
      <c r="B188" s="13"/>
      <c r="C188" s="13"/>
      <c r="D188" s="13"/>
      <c r="E188" s="13"/>
      <c r="F188" s="13"/>
      <c r="G188" s="13"/>
      <c r="H188" s="14"/>
      <c r="I188" s="13"/>
      <c r="J188" s="13"/>
      <c r="K188" s="15" t="str">
        <f aca="false">IF(A188="","",COUNTIF(Quotes!$C$2:$C$301,A188))</f>
        <v/>
      </c>
      <c r="L188" s="15" t="str">
        <f aca="false">IF(A188="","",K188&gt;0)</f>
        <v/>
      </c>
      <c r="M188" s="15" t="str">
        <f aca="false">IF(A188="","",COUNTIF(Picks!$C$2:$C$301,A188))</f>
        <v/>
      </c>
      <c r="N188" s="17" t="str">
        <f aca="false">IF(A188="","",IF(M188=0,"no wins",K188/M188))</f>
        <v/>
      </c>
      <c r="O188" s="15" t="str">
        <f aca="false">IF(A188="","",COUNTIFS(Picks!$C$2:$C$301,A188,Picks!$H$2:$H$301,"Y"))</f>
        <v/>
      </c>
      <c r="P188" s="8"/>
      <c r="Q188" s="8"/>
    </row>
    <row r="189" customFormat="false" ht="15" hidden="false" customHeight="false" outlineLevel="0" collapsed="false">
      <c r="A189" s="13"/>
      <c r="B189" s="13"/>
      <c r="C189" s="13"/>
      <c r="D189" s="13"/>
      <c r="E189" s="13"/>
      <c r="F189" s="13"/>
      <c r="G189" s="13"/>
      <c r="H189" s="14"/>
      <c r="I189" s="13"/>
      <c r="J189" s="13"/>
      <c r="K189" s="15" t="str">
        <f aca="false">IF(A189="","",COUNTIF(Quotes!$C$2:$C$301,A189))</f>
        <v/>
      </c>
      <c r="L189" s="15" t="str">
        <f aca="false">IF(A189="","",K189&gt;0)</f>
        <v/>
      </c>
      <c r="M189" s="15" t="str">
        <f aca="false">IF(A189="","",COUNTIF(Picks!$C$2:$C$301,A189))</f>
        <v/>
      </c>
      <c r="N189" s="17" t="str">
        <f aca="false">IF(A189="","",IF(M189=0,"no wins",K189/M189))</f>
        <v/>
      </c>
      <c r="O189" s="15" t="str">
        <f aca="false">IF(A189="","",COUNTIFS(Picks!$C$2:$C$301,A189,Picks!$H$2:$H$301,"Y"))</f>
        <v/>
      </c>
      <c r="P189" s="8"/>
      <c r="Q189" s="8"/>
    </row>
    <row r="190" customFormat="false" ht="15" hidden="false" customHeight="false" outlineLevel="0" collapsed="false">
      <c r="A190" s="13"/>
      <c r="B190" s="13"/>
      <c r="C190" s="13"/>
      <c r="D190" s="13"/>
      <c r="E190" s="13"/>
      <c r="F190" s="13"/>
      <c r="G190" s="13"/>
      <c r="H190" s="14"/>
      <c r="I190" s="13"/>
      <c r="J190" s="13"/>
      <c r="K190" s="15" t="str">
        <f aca="false">IF(A190="","",COUNTIF(Quotes!$C$2:$C$301,A190))</f>
        <v/>
      </c>
      <c r="L190" s="15" t="str">
        <f aca="false">IF(A190="","",K190&gt;0)</f>
        <v/>
      </c>
      <c r="M190" s="15" t="str">
        <f aca="false">IF(A190="","",COUNTIF(Picks!$C$2:$C$301,A190))</f>
        <v/>
      </c>
      <c r="N190" s="17" t="str">
        <f aca="false">IF(A190="","",IF(M190=0,"no wins",K190/M190))</f>
        <v/>
      </c>
      <c r="O190" s="15" t="str">
        <f aca="false">IF(A190="","",COUNTIFS(Picks!$C$2:$C$301,A190,Picks!$H$2:$H$301,"Y"))</f>
        <v/>
      </c>
      <c r="P190" s="8"/>
      <c r="Q190" s="8"/>
    </row>
    <row r="191" customFormat="false" ht="15" hidden="false" customHeight="false" outlineLevel="0" collapsed="false">
      <c r="A191" s="13"/>
      <c r="B191" s="13"/>
      <c r="C191" s="13"/>
      <c r="D191" s="13"/>
      <c r="E191" s="13"/>
      <c r="F191" s="13"/>
      <c r="G191" s="13"/>
      <c r="H191" s="14"/>
      <c r="I191" s="13"/>
      <c r="J191" s="13"/>
      <c r="K191" s="15" t="str">
        <f aca="false">IF(A191="","",COUNTIF(Quotes!$C$2:$C$301,A191))</f>
        <v/>
      </c>
      <c r="L191" s="15" t="str">
        <f aca="false">IF(A191="","",K191&gt;0)</f>
        <v/>
      </c>
      <c r="M191" s="15" t="str">
        <f aca="false">IF(A191="","",COUNTIF(Picks!$C$2:$C$301,A191))</f>
        <v/>
      </c>
      <c r="N191" s="17" t="str">
        <f aca="false">IF(A191="","",IF(M191=0,"no wins",K191/M191))</f>
        <v/>
      </c>
      <c r="O191" s="15" t="str">
        <f aca="false">IF(A191="","",COUNTIFS(Picks!$C$2:$C$301,A191,Picks!$H$2:$H$301,"Y"))</f>
        <v/>
      </c>
      <c r="P191" s="8"/>
      <c r="Q191" s="8"/>
    </row>
    <row r="192" customFormat="false" ht="15" hidden="false" customHeight="false" outlineLevel="0" collapsed="false">
      <c r="A192" s="13"/>
      <c r="B192" s="13"/>
      <c r="C192" s="13"/>
      <c r="D192" s="13"/>
      <c r="E192" s="13"/>
      <c r="F192" s="13"/>
      <c r="G192" s="13"/>
      <c r="H192" s="14"/>
      <c r="I192" s="13"/>
      <c r="J192" s="13"/>
      <c r="K192" s="15" t="str">
        <f aca="false">IF(A192="","",COUNTIF(Quotes!$C$2:$C$301,A192))</f>
        <v/>
      </c>
      <c r="L192" s="15" t="str">
        <f aca="false">IF(A192="","",K192&gt;0)</f>
        <v/>
      </c>
      <c r="M192" s="15" t="str">
        <f aca="false">IF(A192="","",COUNTIF(Picks!$C$2:$C$301,A192))</f>
        <v/>
      </c>
      <c r="N192" s="17" t="str">
        <f aca="false">IF(A192="","",IF(M192=0,"no wins",K192/M192))</f>
        <v/>
      </c>
      <c r="O192" s="15" t="str">
        <f aca="false">IF(A192="","",COUNTIFS(Picks!$C$2:$C$301,A192,Picks!$H$2:$H$301,"Y"))</f>
        <v/>
      </c>
      <c r="P192" s="8"/>
      <c r="Q192" s="8"/>
    </row>
    <row r="193" customFormat="false" ht="15" hidden="false" customHeight="false" outlineLevel="0" collapsed="false">
      <c r="A193" s="13"/>
      <c r="B193" s="13"/>
      <c r="C193" s="13"/>
      <c r="D193" s="13"/>
      <c r="E193" s="13"/>
      <c r="F193" s="13"/>
      <c r="G193" s="13"/>
      <c r="H193" s="14"/>
      <c r="I193" s="13"/>
      <c r="J193" s="13"/>
      <c r="K193" s="15" t="str">
        <f aca="false">IF(A193="","",COUNTIF(Quotes!$C$2:$C$301,A193))</f>
        <v/>
      </c>
      <c r="L193" s="15" t="str">
        <f aca="false">IF(A193="","",K193&gt;0)</f>
        <v/>
      </c>
      <c r="M193" s="15" t="str">
        <f aca="false">IF(A193="","",COUNTIF(Picks!$C$2:$C$301,A193))</f>
        <v/>
      </c>
      <c r="N193" s="17" t="str">
        <f aca="false">IF(A193="","",IF(M193=0,"no wins",K193/M193))</f>
        <v/>
      </c>
      <c r="O193" s="15" t="str">
        <f aca="false">IF(A193="","",COUNTIFS(Picks!$C$2:$C$301,A193,Picks!$H$2:$H$301,"Y"))</f>
        <v/>
      </c>
      <c r="P193" s="8"/>
      <c r="Q193" s="8"/>
    </row>
    <row r="194" customFormat="false" ht="15" hidden="false" customHeight="false" outlineLevel="0" collapsed="false">
      <c r="A194" s="13"/>
      <c r="B194" s="13"/>
      <c r="C194" s="13"/>
      <c r="D194" s="13"/>
      <c r="E194" s="13"/>
      <c r="F194" s="13"/>
      <c r="G194" s="13"/>
      <c r="H194" s="14"/>
      <c r="I194" s="13"/>
      <c r="J194" s="13"/>
      <c r="K194" s="15" t="str">
        <f aca="false">IF(A194="","",COUNTIF(Quotes!$C$2:$C$301,A194))</f>
        <v/>
      </c>
      <c r="L194" s="15" t="str">
        <f aca="false">IF(A194="","",K194&gt;0)</f>
        <v/>
      </c>
      <c r="M194" s="15" t="str">
        <f aca="false">IF(A194="","",COUNTIF(Picks!$C$2:$C$301,A194))</f>
        <v/>
      </c>
      <c r="N194" s="17" t="str">
        <f aca="false">IF(A194="","",IF(M194=0,"no wins",K194/M194))</f>
        <v/>
      </c>
      <c r="O194" s="15" t="str">
        <f aca="false">IF(A194="","",COUNTIFS(Picks!$C$2:$C$301,A194,Picks!$H$2:$H$301,"Y"))</f>
        <v/>
      </c>
      <c r="P194" s="8"/>
      <c r="Q194" s="8"/>
    </row>
    <row r="195" customFormat="false" ht="15" hidden="false" customHeight="false" outlineLevel="0" collapsed="false">
      <c r="A195" s="13"/>
      <c r="B195" s="13"/>
      <c r="C195" s="13"/>
      <c r="D195" s="13"/>
      <c r="E195" s="13"/>
      <c r="F195" s="13"/>
      <c r="G195" s="13"/>
      <c r="H195" s="14"/>
      <c r="I195" s="13"/>
      <c r="J195" s="13"/>
      <c r="K195" s="15" t="str">
        <f aca="false">IF(A195="","",COUNTIF(Quotes!$C$2:$C$301,A195))</f>
        <v/>
      </c>
      <c r="L195" s="15" t="str">
        <f aca="false">IF(A195="","",K195&gt;0)</f>
        <v/>
      </c>
      <c r="M195" s="15" t="str">
        <f aca="false">IF(A195="","",COUNTIF(Picks!$C$2:$C$301,A195))</f>
        <v/>
      </c>
      <c r="N195" s="17" t="str">
        <f aca="false">IF(A195="","",IF(M195=0,"no wins",K195/M195))</f>
        <v/>
      </c>
      <c r="O195" s="15" t="str">
        <f aca="false">IF(A195="","",COUNTIFS(Picks!$C$2:$C$301,A195,Picks!$H$2:$H$301,"Y"))</f>
        <v/>
      </c>
      <c r="P195" s="8"/>
      <c r="Q195" s="8"/>
    </row>
    <row r="196" customFormat="false" ht="15" hidden="false" customHeight="false" outlineLevel="0" collapsed="false">
      <c r="A196" s="13"/>
      <c r="B196" s="13"/>
      <c r="C196" s="13"/>
      <c r="D196" s="13"/>
      <c r="E196" s="13"/>
      <c r="F196" s="13"/>
      <c r="G196" s="13"/>
      <c r="H196" s="14"/>
      <c r="I196" s="13"/>
      <c r="J196" s="13"/>
      <c r="K196" s="15" t="str">
        <f aca="false">IF(A196="","",COUNTIF(Quotes!$C$2:$C$301,A196))</f>
        <v/>
      </c>
      <c r="L196" s="15" t="str">
        <f aca="false">IF(A196="","",K196&gt;0)</f>
        <v/>
      </c>
      <c r="M196" s="15" t="str">
        <f aca="false">IF(A196="","",COUNTIF(Picks!$C$2:$C$301,A196))</f>
        <v/>
      </c>
      <c r="N196" s="17" t="str">
        <f aca="false">IF(A196="","",IF(M196=0,"no wins",K196/M196))</f>
        <v/>
      </c>
      <c r="O196" s="15" t="str">
        <f aca="false">IF(A196="","",COUNTIFS(Picks!$C$2:$C$301,A196,Picks!$H$2:$H$301,"Y"))</f>
        <v/>
      </c>
      <c r="P196" s="8"/>
      <c r="Q196" s="8"/>
    </row>
    <row r="197" customFormat="false" ht="15" hidden="false" customHeight="false" outlineLevel="0" collapsed="false">
      <c r="A197" s="13"/>
      <c r="B197" s="13"/>
      <c r="C197" s="13"/>
      <c r="D197" s="13"/>
      <c r="E197" s="13"/>
      <c r="F197" s="13"/>
      <c r="G197" s="13"/>
      <c r="H197" s="14"/>
      <c r="I197" s="13"/>
      <c r="J197" s="13"/>
      <c r="K197" s="15" t="str">
        <f aca="false">IF(A197="","",COUNTIF(Quotes!$C$2:$C$301,A197))</f>
        <v/>
      </c>
      <c r="L197" s="15" t="str">
        <f aca="false">IF(A197="","",K197&gt;0)</f>
        <v/>
      </c>
      <c r="M197" s="15" t="str">
        <f aca="false">IF(A197="","",COUNTIF(Picks!$C$2:$C$301,A197))</f>
        <v/>
      </c>
      <c r="N197" s="17" t="str">
        <f aca="false">IF(A197="","",IF(M197=0,"no wins",K197/M197))</f>
        <v/>
      </c>
      <c r="O197" s="15" t="str">
        <f aca="false">IF(A197="","",COUNTIFS(Picks!$C$2:$C$301,A197,Picks!$H$2:$H$301,"Y"))</f>
        <v/>
      </c>
      <c r="P197" s="8"/>
      <c r="Q197" s="8"/>
    </row>
    <row r="198" customFormat="false" ht="15" hidden="false" customHeight="false" outlineLevel="0" collapsed="false">
      <c r="A198" s="13"/>
      <c r="B198" s="13"/>
      <c r="C198" s="13"/>
      <c r="D198" s="13"/>
      <c r="E198" s="13"/>
      <c r="F198" s="13"/>
      <c r="G198" s="13"/>
      <c r="H198" s="14"/>
      <c r="I198" s="13"/>
      <c r="J198" s="13"/>
      <c r="K198" s="15" t="str">
        <f aca="false">IF(A198="","",COUNTIF(Quotes!$C$2:$C$301,A198))</f>
        <v/>
      </c>
      <c r="L198" s="15" t="str">
        <f aca="false">IF(A198="","",K198&gt;0)</f>
        <v/>
      </c>
      <c r="M198" s="15" t="str">
        <f aca="false">IF(A198="","",COUNTIF(Picks!$C$2:$C$301,A198))</f>
        <v/>
      </c>
      <c r="N198" s="17" t="str">
        <f aca="false">IF(A198="","",IF(M198=0,"no wins",K198/M198))</f>
        <v/>
      </c>
      <c r="O198" s="15" t="str">
        <f aca="false">IF(A198="","",COUNTIFS(Picks!$C$2:$C$301,A198,Picks!$H$2:$H$301,"Y"))</f>
        <v/>
      </c>
      <c r="P198" s="8"/>
      <c r="Q198" s="8"/>
    </row>
    <row r="199" customFormat="false" ht="15" hidden="false" customHeight="false" outlineLevel="0" collapsed="false">
      <c r="A199" s="13"/>
      <c r="B199" s="13"/>
      <c r="C199" s="13"/>
      <c r="D199" s="13"/>
      <c r="E199" s="13"/>
      <c r="F199" s="13"/>
      <c r="G199" s="13"/>
      <c r="H199" s="14"/>
      <c r="I199" s="13"/>
      <c r="J199" s="13"/>
      <c r="K199" s="15" t="str">
        <f aca="false">IF(A199="","",COUNTIF(Quotes!$C$2:$C$301,A199))</f>
        <v/>
      </c>
      <c r="L199" s="15" t="str">
        <f aca="false">IF(A199="","",K199&gt;0)</f>
        <v/>
      </c>
      <c r="M199" s="15" t="str">
        <f aca="false">IF(A199="","",COUNTIF(Picks!$C$2:$C$301,A199))</f>
        <v/>
      </c>
      <c r="N199" s="17" t="str">
        <f aca="false">IF(A199="","",IF(M199=0,"no wins",K199/M199))</f>
        <v/>
      </c>
      <c r="O199" s="15" t="str">
        <f aca="false">IF(A199="","",COUNTIFS(Picks!$C$2:$C$301,A199,Picks!$H$2:$H$301,"Y"))</f>
        <v/>
      </c>
      <c r="P199" s="8"/>
      <c r="Q199" s="8"/>
    </row>
    <row r="200" customFormat="false" ht="15" hidden="false" customHeight="false" outlineLevel="0" collapsed="false">
      <c r="A200" s="13"/>
      <c r="B200" s="13"/>
      <c r="C200" s="13"/>
      <c r="D200" s="13"/>
      <c r="E200" s="13"/>
      <c r="F200" s="13"/>
      <c r="G200" s="13"/>
      <c r="H200" s="14"/>
      <c r="I200" s="13"/>
      <c r="J200" s="13"/>
      <c r="K200" s="15" t="str">
        <f aca="false">IF(A200="","",COUNTIF(Quotes!$C$2:$C$301,A200))</f>
        <v/>
      </c>
      <c r="L200" s="15" t="str">
        <f aca="false">IF(A200="","",K200&gt;0)</f>
        <v/>
      </c>
      <c r="M200" s="15" t="str">
        <f aca="false">IF(A200="","",COUNTIF(Picks!$C$2:$C$301,A200))</f>
        <v/>
      </c>
      <c r="N200" s="17" t="str">
        <f aca="false">IF(A200="","",IF(M200=0,"no wins",K200/M200))</f>
        <v/>
      </c>
      <c r="O200" s="15" t="str">
        <f aca="false">IF(A200="","",COUNTIFS(Picks!$C$2:$C$301,A200,Picks!$H$2:$H$301,"Y"))</f>
        <v/>
      </c>
      <c r="P200" s="8"/>
      <c r="Q200" s="8"/>
    </row>
    <row r="201" customFormat="false" ht="15" hidden="false" customHeight="false" outlineLevel="0" collapsed="false">
      <c r="A201" s="13"/>
      <c r="B201" s="13"/>
      <c r="C201" s="13"/>
      <c r="D201" s="13"/>
      <c r="E201" s="13"/>
      <c r="F201" s="13"/>
      <c r="G201" s="13"/>
      <c r="H201" s="14"/>
      <c r="I201" s="13"/>
      <c r="J201" s="13"/>
      <c r="K201" s="15" t="str">
        <f aca="false">IF(A201="","",COUNTIF(Quotes!$C$2:$C$301,A201))</f>
        <v/>
      </c>
      <c r="L201" s="15" t="str">
        <f aca="false">IF(A201="","",K201&gt;0)</f>
        <v/>
      </c>
      <c r="M201" s="15" t="str">
        <f aca="false">IF(A201="","",COUNTIF(Picks!$C$2:$C$301,A201))</f>
        <v/>
      </c>
      <c r="N201" s="17" t="str">
        <f aca="false">IF(A201="","",IF(M201=0,"no wins",K201/M201))</f>
        <v/>
      </c>
      <c r="O201" s="15" t="str">
        <f aca="false">IF(A201="","",COUNTIFS(Picks!$C$2:$C$301,A201,Picks!$H$2:$H$301,"Y"))</f>
        <v/>
      </c>
      <c r="P201" s="8"/>
      <c r="Q201" s="8"/>
    </row>
    <row r="202" customFormat="false" ht="15" hidden="false" customHeight="false" outlineLevel="0" collapsed="false">
      <c r="A202" s="13"/>
      <c r="B202" s="13"/>
      <c r="C202" s="13"/>
      <c r="D202" s="13"/>
      <c r="E202" s="13"/>
      <c r="F202" s="13"/>
      <c r="G202" s="13"/>
      <c r="H202" s="14"/>
      <c r="I202" s="13"/>
      <c r="J202" s="13"/>
      <c r="K202" s="15" t="str">
        <f aca="false">IF(A202="","",COUNTIF(Quotes!$C$2:$C$301,A202))</f>
        <v/>
      </c>
      <c r="L202" s="15" t="str">
        <f aca="false">IF(A202="","",K202&gt;0)</f>
        <v/>
      </c>
      <c r="M202" s="15" t="str">
        <f aca="false">IF(A202="","",COUNTIF(Picks!$C$2:$C$301,A202))</f>
        <v/>
      </c>
      <c r="N202" s="17" t="str">
        <f aca="false">IF(A202="","",IF(M202=0,"no wins",K202/M202))</f>
        <v/>
      </c>
      <c r="O202" s="15" t="str">
        <f aca="false">IF(A202="","",COUNTIFS(Picks!$C$2:$C$301,A202,Picks!$H$2:$H$301,"Y"))</f>
        <v/>
      </c>
      <c r="P202" s="8"/>
      <c r="Q202" s="8"/>
    </row>
    <row r="203" customFormat="false" ht="15" hidden="false" customHeight="false" outlineLevel="0" collapsed="false">
      <c r="A203" s="13"/>
      <c r="B203" s="13"/>
      <c r="C203" s="13"/>
      <c r="D203" s="13"/>
      <c r="E203" s="13"/>
      <c r="F203" s="13"/>
      <c r="G203" s="13"/>
      <c r="H203" s="14"/>
      <c r="I203" s="13"/>
      <c r="J203" s="13"/>
      <c r="K203" s="15" t="str">
        <f aca="false">IF(A203="","",COUNTIF(Quotes!$C$2:$C$301,A203))</f>
        <v/>
      </c>
      <c r="L203" s="15" t="str">
        <f aca="false">IF(A203="","",K203&gt;0)</f>
        <v/>
      </c>
      <c r="M203" s="15" t="str">
        <f aca="false">IF(A203="","",COUNTIF(Picks!$C$2:$C$301,A203))</f>
        <v/>
      </c>
      <c r="N203" s="17" t="str">
        <f aca="false">IF(A203="","",IF(M203=0,"no wins",K203/M203))</f>
        <v/>
      </c>
      <c r="O203" s="15" t="str">
        <f aca="false">IF(A203="","",COUNTIFS(Picks!$C$2:$C$301,A203,Picks!$H$2:$H$301,"Y"))</f>
        <v/>
      </c>
      <c r="P203" s="8"/>
      <c r="Q203" s="8"/>
    </row>
    <row r="204" customFormat="false" ht="15" hidden="false" customHeight="false" outlineLevel="0" collapsed="false">
      <c r="A204" s="13"/>
      <c r="B204" s="13"/>
      <c r="C204" s="13"/>
      <c r="D204" s="13"/>
      <c r="E204" s="13"/>
      <c r="F204" s="13"/>
      <c r="G204" s="13"/>
      <c r="H204" s="14"/>
      <c r="I204" s="13"/>
      <c r="J204" s="13"/>
      <c r="K204" s="15" t="str">
        <f aca="false">IF(A204="","",COUNTIF(Quotes!$C$2:$C$301,A204))</f>
        <v/>
      </c>
      <c r="L204" s="15" t="str">
        <f aca="false">IF(A204="","",K204&gt;0)</f>
        <v/>
      </c>
      <c r="M204" s="15" t="str">
        <f aca="false">IF(A204="","",COUNTIF(Picks!$C$2:$C$301,A204))</f>
        <v/>
      </c>
      <c r="N204" s="17" t="str">
        <f aca="false">IF(A204="","",IF(M204=0,"no wins",K204/M204))</f>
        <v/>
      </c>
      <c r="O204" s="15" t="str">
        <f aca="false">IF(A204="","",COUNTIFS(Picks!$C$2:$C$301,A204,Picks!$H$2:$H$301,"Y"))</f>
        <v/>
      </c>
      <c r="P204" s="8"/>
      <c r="Q204" s="8"/>
    </row>
    <row r="205" customFormat="false" ht="15" hidden="false" customHeight="false" outlineLevel="0" collapsed="false">
      <c r="A205" s="13"/>
      <c r="B205" s="13"/>
      <c r="C205" s="13"/>
      <c r="D205" s="13"/>
      <c r="E205" s="13"/>
      <c r="F205" s="13"/>
      <c r="G205" s="13"/>
      <c r="H205" s="14"/>
      <c r="I205" s="13"/>
      <c r="J205" s="13"/>
      <c r="K205" s="15" t="str">
        <f aca="false">IF(A205="","",COUNTIF(Quotes!$C$2:$C$301,A205))</f>
        <v/>
      </c>
      <c r="L205" s="15" t="str">
        <f aca="false">IF(A205="","",K205&gt;0)</f>
        <v/>
      </c>
      <c r="M205" s="15" t="str">
        <f aca="false">IF(A205="","",COUNTIF(Picks!$C$2:$C$301,A205))</f>
        <v/>
      </c>
      <c r="N205" s="17" t="str">
        <f aca="false">IF(A205="","",IF(M205=0,"no wins",K205/M205))</f>
        <v/>
      </c>
      <c r="O205" s="15" t="str">
        <f aca="false">IF(A205="","",COUNTIFS(Picks!$C$2:$C$301,A205,Picks!$H$2:$H$301,"Y"))</f>
        <v/>
      </c>
      <c r="P205" s="8"/>
      <c r="Q205" s="8"/>
    </row>
    <row r="206" customFormat="false" ht="15" hidden="false" customHeight="false" outlineLevel="0" collapsed="false">
      <c r="A206" s="13"/>
      <c r="B206" s="13"/>
      <c r="C206" s="13"/>
      <c r="D206" s="13"/>
      <c r="E206" s="13"/>
      <c r="F206" s="13"/>
      <c r="G206" s="13"/>
      <c r="H206" s="14"/>
      <c r="I206" s="13"/>
      <c r="J206" s="13"/>
      <c r="K206" s="15" t="str">
        <f aca="false">IF(A206="","",COUNTIF(Quotes!$C$2:$C$301,A206))</f>
        <v/>
      </c>
      <c r="L206" s="15" t="str">
        <f aca="false">IF(A206="","",K206&gt;0)</f>
        <v/>
      </c>
      <c r="M206" s="15" t="str">
        <f aca="false">IF(A206="","",COUNTIF(Picks!$C$2:$C$301,A206))</f>
        <v/>
      </c>
      <c r="N206" s="17" t="str">
        <f aca="false">IF(A206="","",IF(M206=0,"no wins",K206/M206))</f>
        <v/>
      </c>
      <c r="O206" s="15" t="str">
        <f aca="false">IF(A206="","",COUNTIFS(Picks!$C$2:$C$301,A206,Picks!$H$2:$H$301,"Y"))</f>
        <v/>
      </c>
      <c r="P206" s="8"/>
      <c r="Q206" s="8"/>
    </row>
    <row r="207" customFormat="false" ht="15" hidden="false" customHeight="false" outlineLevel="0" collapsed="false">
      <c r="A207" s="13"/>
      <c r="B207" s="13"/>
      <c r="C207" s="13"/>
      <c r="D207" s="13"/>
      <c r="E207" s="13"/>
      <c r="F207" s="13"/>
      <c r="G207" s="13"/>
      <c r="H207" s="14"/>
      <c r="I207" s="13"/>
      <c r="J207" s="13"/>
      <c r="K207" s="15" t="str">
        <f aca="false">IF(A207="","",COUNTIF(Quotes!$C$2:$C$301,A207))</f>
        <v/>
      </c>
      <c r="L207" s="15" t="str">
        <f aca="false">IF(A207="","",K207&gt;0)</f>
        <v/>
      </c>
      <c r="M207" s="15" t="str">
        <f aca="false">IF(A207="","",COUNTIF(Picks!$C$2:$C$301,A207))</f>
        <v/>
      </c>
      <c r="N207" s="17" t="str">
        <f aca="false">IF(A207="","",IF(M207=0,"no wins",K207/M207))</f>
        <v/>
      </c>
      <c r="O207" s="15" t="str">
        <f aca="false">IF(A207="","",COUNTIFS(Picks!$C$2:$C$301,A207,Picks!$H$2:$H$301,"Y"))</f>
        <v/>
      </c>
      <c r="P207" s="8"/>
      <c r="Q207" s="8"/>
    </row>
    <row r="208" customFormat="false" ht="15" hidden="false" customHeight="false" outlineLevel="0" collapsed="false">
      <c r="A208" s="13"/>
      <c r="B208" s="13"/>
      <c r="C208" s="13"/>
      <c r="D208" s="13"/>
      <c r="E208" s="13"/>
      <c r="F208" s="13"/>
      <c r="G208" s="13"/>
      <c r="H208" s="14"/>
      <c r="I208" s="13"/>
      <c r="J208" s="13"/>
      <c r="K208" s="15" t="str">
        <f aca="false">IF(A208="","",COUNTIF(Quotes!$C$2:$C$301,A208))</f>
        <v/>
      </c>
      <c r="L208" s="15" t="str">
        <f aca="false">IF(A208="","",K208&gt;0)</f>
        <v/>
      </c>
      <c r="M208" s="15" t="str">
        <f aca="false">IF(A208="","",COUNTIF(Picks!$C$2:$C$301,A208))</f>
        <v/>
      </c>
      <c r="N208" s="17" t="str">
        <f aca="false">IF(A208="","",IF(M208=0,"no wins",K208/M208))</f>
        <v/>
      </c>
      <c r="O208" s="15" t="str">
        <f aca="false">IF(A208="","",COUNTIFS(Picks!$C$2:$C$301,A208,Picks!$H$2:$H$301,"Y"))</f>
        <v/>
      </c>
      <c r="P208" s="8"/>
      <c r="Q208" s="8"/>
    </row>
    <row r="209" customFormat="false" ht="15" hidden="false" customHeight="false" outlineLevel="0" collapsed="false">
      <c r="A209" s="13"/>
      <c r="B209" s="13"/>
      <c r="C209" s="13"/>
      <c r="D209" s="13"/>
      <c r="E209" s="13"/>
      <c r="F209" s="13"/>
      <c r="G209" s="13"/>
      <c r="H209" s="14"/>
      <c r="I209" s="13"/>
      <c r="J209" s="13"/>
      <c r="K209" s="15" t="str">
        <f aca="false">IF(A209="","",COUNTIF(Quotes!$C$2:$C$301,A209))</f>
        <v/>
      </c>
      <c r="L209" s="15" t="str">
        <f aca="false">IF(A209="","",K209&gt;0)</f>
        <v/>
      </c>
      <c r="M209" s="15" t="str">
        <f aca="false">IF(A209="","",COUNTIF(Picks!$C$2:$C$301,A209))</f>
        <v/>
      </c>
      <c r="N209" s="17" t="str">
        <f aca="false">IF(A209="","",IF(M209=0,"no wins",K209/M209))</f>
        <v/>
      </c>
      <c r="O209" s="15" t="str">
        <f aca="false">IF(A209="","",COUNTIFS(Picks!$C$2:$C$301,A209,Picks!$H$2:$H$301,"Y"))</f>
        <v/>
      </c>
      <c r="P209" s="8"/>
      <c r="Q209" s="8"/>
    </row>
    <row r="210" customFormat="false" ht="15" hidden="false" customHeight="false" outlineLevel="0" collapsed="false">
      <c r="A210" s="13"/>
      <c r="B210" s="13"/>
      <c r="C210" s="13"/>
      <c r="D210" s="13"/>
      <c r="E210" s="13"/>
      <c r="F210" s="13"/>
      <c r="G210" s="13"/>
      <c r="H210" s="14"/>
      <c r="I210" s="13"/>
      <c r="J210" s="13"/>
      <c r="K210" s="15" t="str">
        <f aca="false">IF(A210="","",COUNTIF(Quotes!$C$2:$C$301,A210))</f>
        <v/>
      </c>
      <c r="L210" s="15" t="str">
        <f aca="false">IF(A210="","",K210&gt;0)</f>
        <v/>
      </c>
      <c r="M210" s="15" t="str">
        <f aca="false">IF(A210="","",COUNTIF(Picks!$C$2:$C$301,A210))</f>
        <v/>
      </c>
      <c r="N210" s="17" t="str">
        <f aca="false">IF(A210="","",IF(M210=0,"no wins",K210/M210))</f>
        <v/>
      </c>
      <c r="O210" s="15" t="str">
        <f aca="false">IF(A210="","",COUNTIFS(Picks!$C$2:$C$301,A210,Picks!$H$2:$H$301,"Y"))</f>
        <v/>
      </c>
      <c r="P210" s="8"/>
      <c r="Q210" s="8"/>
    </row>
    <row r="211" customFormat="false" ht="15" hidden="false" customHeight="false" outlineLevel="0" collapsed="false">
      <c r="A211" s="13"/>
      <c r="B211" s="13"/>
      <c r="C211" s="13"/>
      <c r="D211" s="13"/>
      <c r="E211" s="13"/>
      <c r="F211" s="13"/>
      <c r="G211" s="13"/>
      <c r="H211" s="14"/>
      <c r="I211" s="13"/>
      <c r="J211" s="13"/>
      <c r="K211" s="15" t="str">
        <f aca="false">IF(A211="","",COUNTIF(Quotes!$C$2:$C$301,A211))</f>
        <v/>
      </c>
      <c r="L211" s="15" t="str">
        <f aca="false">IF(A211="","",K211&gt;0)</f>
        <v/>
      </c>
      <c r="M211" s="15" t="str">
        <f aca="false">IF(A211="","",COUNTIF(Picks!$C$2:$C$301,A211))</f>
        <v/>
      </c>
      <c r="N211" s="17" t="str">
        <f aca="false">IF(A211="","",IF(M211=0,"no wins",K211/M211))</f>
        <v/>
      </c>
      <c r="O211" s="15" t="str">
        <f aca="false">IF(A211="","",COUNTIFS(Picks!$C$2:$C$301,A211,Picks!$H$2:$H$301,"Y"))</f>
        <v/>
      </c>
      <c r="P211" s="8"/>
      <c r="Q211" s="8"/>
    </row>
    <row r="212" customFormat="false" ht="15" hidden="false" customHeight="false" outlineLevel="0" collapsed="false">
      <c r="A212" s="13"/>
      <c r="B212" s="13"/>
      <c r="C212" s="13"/>
      <c r="D212" s="13"/>
      <c r="E212" s="13"/>
      <c r="F212" s="13"/>
      <c r="G212" s="13"/>
      <c r="H212" s="14"/>
      <c r="I212" s="13"/>
      <c r="J212" s="13"/>
      <c r="K212" s="15" t="str">
        <f aca="false">IF(A212="","",COUNTIF(Quotes!$C$2:$C$301,A212))</f>
        <v/>
      </c>
      <c r="L212" s="15" t="str">
        <f aca="false">IF(A212="","",K212&gt;0)</f>
        <v/>
      </c>
      <c r="M212" s="15" t="str">
        <f aca="false">IF(A212="","",COUNTIF(Picks!$C$2:$C$301,A212))</f>
        <v/>
      </c>
      <c r="N212" s="17" t="str">
        <f aca="false">IF(A212="","",IF(M212=0,"no wins",K212/M212))</f>
        <v/>
      </c>
      <c r="O212" s="15" t="str">
        <f aca="false">IF(A212="","",COUNTIFS(Picks!$C$2:$C$301,A212,Picks!$H$2:$H$301,"Y"))</f>
        <v/>
      </c>
      <c r="P212" s="8"/>
      <c r="Q212" s="8"/>
    </row>
    <row r="213" customFormat="false" ht="15" hidden="false" customHeight="false" outlineLevel="0" collapsed="false">
      <c r="A213" s="13"/>
      <c r="B213" s="13"/>
      <c r="C213" s="13"/>
      <c r="D213" s="13"/>
      <c r="E213" s="13"/>
      <c r="F213" s="13"/>
      <c r="G213" s="13"/>
      <c r="H213" s="14"/>
      <c r="I213" s="13"/>
      <c r="J213" s="13"/>
      <c r="K213" s="15" t="str">
        <f aca="false">IF(A213="","",COUNTIF(Quotes!$C$2:$C$301,A213))</f>
        <v/>
      </c>
      <c r="L213" s="15" t="str">
        <f aca="false">IF(A213="","",K213&gt;0)</f>
        <v/>
      </c>
      <c r="M213" s="15" t="str">
        <f aca="false">IF(A213="","",COUNTIF(Picks!$C$2:$C$301,A213))</f>
        <v/>
      </c>
      <c r="N213" s="17" t="str">
        <f aca="false">IF(A213="","",IF(M213=0,"no wins",K213/M213))</f>
        <v/>
      </c>
      <c r="O213" s="15" t="str">
        <f aca="false">IF(A213="","",COUNTIFS(Picks!$C$2:$C$301,A213,Picks!$H$2:$H$301,"Y"))</f>
        <v/>
      </c>
      <c r="P213" s="8"/>
      <c r="Q213" s="8"/>
    </row>
    <row r="214" customFormat="false" ht="15" hidden="false" customHeight="false" outlineLevel="0" collapsed="false">
      <c r="A214" s="13"/>
      <c r="B214" s="13"/>
      <c r="C214" s="13"/>
      <c r="D214" s="13"/>
      <c r="E214" s="13"/>
      <c r="F214" s="13"/>
      <c r="G214" s="13"/>
      <c r="H214" s="14"/>
      <c r="I214" s="13"/>
      <c r="J214" s="13"/>
      <c r="K214" s="15" t="str">
        <f aca="false">IF(A214="","",COUNTIF(Quotes!$C$2:$C$301,A214))</f>
        <v/>
      </c>
      <c r="L214" s="15" t="str">
        <f aca="false">IF(A214="","",K214&gt;0)</f>
        <v/>
      </c>
      <c r="M214" s="15" t="str">
        <f aca="false">IF(A214="","",COUNTIF(Picks!$C$2:$C$301,A214))</f>
        <v/>
      </c>
      <c r="N214" s="17" t="str">
        <f aca="false">IF(A214="","",IF(M214=0,"no wins",K214/M214))</f>
        <v/>
      </c>
      <c r="O214" s="15" t="str">
        <f aca="false">IF(A214="","",COUNTIFS(Picks!$C$2:$C$301,A214,Picks!$H$2:$H$301,"Y"))</f>
        <v/>
      </c>
      <c r="P214" s="8"/>
      <c r="Q214" s="8"/>
    </row>
    <row r="215" customFormat="false" ht="15" hidden="false" customHeight="false" outlineLevel="0" collapsed="false">
      <c r="A215" s="13"/>
      <c r="B215" s="13"/>
      <c r="C215" s="13"/>
      <c r="D215" s="13"/>
      <c r="E215" s="13"/>
      <c r="F215" s="13"/>
      <c r="G215" s="13"/>
      <c r="H215" s="14"/>
      <c r="I215" s="13"/>
      <c r="J215" s="13"/>
      <c r="K215" s="15" t="str">
        <f aca="false">IF(A215="","",COUNTIF(Quotes!$C$2:$C$301,A215))</f>
        <v/>
      </c>
      <c r="L215" s="15" t="str">
        <f aca="false">IF(A215="","",K215&gt;0)</f>
        <v/>
      </c>
      <c r="M215" s="15" t="str">
        <f aca="false">IF(A215="","",COUNTIF(Picks!$C$2:$C$301,A215))</f>
        <v/>
      </c>
      <c r="N215" s="17" t="str">
        <f aca="false">IF(A215="","",IF(M215=0,"no wins",K215/M215))</f>
        <v/>
      </c>
      <c r="O215" s="15" t="str">
        <f aca="false">IF(A215="","",COUNTIFS(Picks!$C$2:$C$301,A215,Picks!$H$2:$H$301,"Y"))</f>
        <v/>
      </c>
      <c r="P215" s="8"/>
      <c r="Q215" s="8"/>
    </row>
    <row r="216" customFormat="false" ht="15" hidden="false" customHeight="false" outlineLevel="0" collapsed="false">
      <c r="A216" s="13"/>
      <c r="B216" s="13"/>
      <c r="C216" s="13"/>
      <c r="D216" s="13"/>
      <c r="E216" s="13"/>
      <c r="F216" s="13"/>
      <c r="G216" s="13"/>
      <c r="H216" s="14"/>
      <c r="I216" s="13"/>
      <c r="J216" s="13"/>
      <c r="K216" s="15" t="str">
        <f aca="false">IF(A216="","",COUNTIF(Quotes!$C$2:$C$301,A216))</f>
        <v/>
      </c>
      <c r="L216" s="15" t="str">
        <f aca="false">IF(A216="","",K216&gt;0)</f>
        <v/>
      </c>
      <c r="M216" s="15" t="str">
        <f aca="false">IF(A216="","",COUNTIF(Picks!$C$2:$C$301,A216))</f>
        <v/>
      </c>
      <c r="N216" s="17" t="str">
        <f aca="false">IF(A216="","",IF(M216=0,"no wins",K216/M216))</f>
        <v/>
      </c>
      <c r="O216" s="15" t="str">
        <f aca="false">IF(A216="","",COUNTIFS(Picks!$C$2:$C$301,A216,Picks!$H$2:$H$301,"Y"))</f>
        <v/>
      </c>
      <c r="P216" s="8"/>
      <c r="Q216" s="8"/>
    </row>
    <row r="217" customFormat="false" ht="15" hidden="false" customHeight="false" outlineLevel="0" collapsed="false">
      <c r="A217" s="13"/>
      <c r="B217" s="13"/>
      <c r="C217" s="13"/>
      <c r="D217" s="13"/>
      <c r="E217" s="13"/>
      <c r="F217" s="13"/>
      <c r="G217" s="13"/>
      <c r="H217" s="14"/>
      <c r="I217" s="13"/>
      <c r="J217" s="13"/>
      <c r="K217" s="15" t="str">
        <f aca="false">IF(A217="","",COUNTIF(Quotes!$C$2:$C$301,A217))</f>
        <v/>
      </c>
      <c r="L217" s="15" t="str">
        <f aca="false">IF(A217="","",K217&gt;0)</f>
        <v/>
      </c>
      <c r="M217" s="15" t="str">
        <f aca="false">IF(A217="","",COUNTIF(Picks!$C$2:$C$301,A217))</f>
        <v/>
      </c>
      <c r="N217" s="17" t="str">
        <f aca="false">IF(A217="","",IF(M217=0,"no wins",K217/M217))</f>
        <v/>
      </c>
      <c r="O217" s="15" t="str">
        <f aca="false">IF(A217="","",COUNTIFS(Picks!$C$2:$C$301,A217,Picks!$H$2:$H$301,"Y"))</f>
        <v/>
      </c>
      <c r="P217" s="8"/>
      <c r="Q217" s="8"/>
    </row>
    <row r="218" customFormat="false" ht="15" hidden="false" customHeight="false" outlineLevel="0" collapsed="false">
      <c r="A218" s="13"/>
      <c r="B218" s="13"/>
      <c r="C218" s="13"/>
      <c r="D218" s="13"/>
      <c r="E218" s="13"/>
      <c r="F218" s="13"/>
      <c r="G218" s="13"/>
      <c r="H218" s="14"/>
      <c r="I218" s="13"/>
      <c r="J218" s="13"/>
      <c r="K218" s="15" t="str">
        <f aca="false">IF(A218="","",COUNTIF(Quotes!$C$2:$C$301,A218))</f>
        <v/>
      </c>
      <c r="L218" s="15" t="str">
        <f aca="false">IF(A218="","",K218&gt;0)</f>
        <v/>
      </c>
      <c r="M218" s="15" t="str">
        <f aca="false">IF(A218="","",COUNTIF(Picks!$C$2:$C$301,A218))</f>
        <v/>
      </c>
      <c r="N218" s="17" t="str">
        <f aca="false">IF(A218="","",IF(M218=0,"no wins",K218/M218))</f>
        <v/>
      </c>
      <c r="O218" s="15" t="str">
        <f aca="false">IF(A218="","",COUNTIFS(Picks!$C$2:$C$301,A218,Picks!$H$2:$H$301,"Y"))</f>
        <v/>
      </c>
      <c r="P218" s="8"/>
      <c r="Q218" s="8"/>
    </row>
    <row r="219" customFormat="false" ht="15" hidden="false" customHeight="false" outlineLevel="0" collapsed="false">
      <c r="A219" s="13"/>
      <c r="B219" s="13"/>
      <c r="C219" s="13"/>
      <c r="D219" s="13"/>
      <c r="E219" s="13"/>
      <c r="F219" s="13"/>
      <c r="G219" s="13"/>
      <c r="H219" s="14"/>
      <c r="I219" s="13"/>
      <c r="J219" s="13"/>
      <c r="K219" s="15" t="str">
        <f aca="false">IF(A219="","",COUNTIF(Quotes!$C$2:$C$301,A219))</f>
        <v/>
      </c>
      <c r="L219" s="15" t="str">
        <f aca="false">IF(A219="","",K219&gt;0)</f>
        <v/>
      </c>
      <c r="M219" s="15" t="str">
        <f aca="false">IF(A219="","",COUNTIF(Picks!$C$2:$C$301,A219))</f>
        <v/>
      </c>
      <c r="N219" s="17" t="str">
        <f aca="false">IF(A219="","",IF(M219=0,"no wins",K219/M219))</f>
        <v/>
      </c>
      <c r="O219" s="15" t="str">
        <f aca="false">IF(A219="","",COUNTIFS(Picks!$C$2:$C$301,A219,Picks!$H$2:$H$301,"Y"))</f>
        <v/>
      </c>
      <c r="P219" s="8"/>
      <c r="Q219" s="8"/>
    </row>
    <row r="220" customFormat="false" ht="15" hidden="false" customHeight="false" outlineLevel="0" collapsed="false">
      <c r="A220" s="13"/>
      <c r="B220" s="13"/>
      <c r="C220" s="13"/>
      <c r="D220" s="13"/>
      <c r="E220" s="13"/>
      <c r="F220" s="13"/>
      <c r="G220" s="13"/>
      <c r="H220" s="14"/>
      <c r="I220" s="13"/>
      <c r="J220" s="13"/>
      <c r="K220" s="15" t="str">
        <f aca="false">IF(A220="","",COUNTIF(Quotes!$C$2:$C$301,A220))</f>
        <v/>
      </c>
      <c r="L220" s="15" t="str">
        <f aca="false">IF(A220="","",K220&gt;0)</f>
        <v/>
      </c>
      <c r="M220" s="15" t="str">
        <f aca="false">IF(A220="","",COUNTIF(Picks!$C$2:$C$301,A220))</f>
        <v/>
      </c>
      <c r="N220" s="17" t="str">
        <f aca="false">IF(A220="","",IF(M220=0,"no wins",K220/M220))</f>
        <v/>
      </c>
      <c r="O220" s="15" t="str">
        <f aca="false">IF(A220="","",COUNTIFS(Picks!$C$2:$C$301,A220,Picks!$H$2:$H$301,"Y"))</f>
        <v/>
      </c>
      <c r="P220" s="8"/>
      <c r="Q220" s="8"/>
    </row>
    <row r="221" customFormat="false" ht="15" hidden="false" customHeight="false" outlineLevel="0" collapsed="false">
      <c r="A221" s="13"/>
      <c r="B221" s="13"/>
      <c r="C221" s="13"/>
      <c r="D221" s="13"/>
      <c r="E221" s="13"/>
      <c r="F221" s="13"/>
      <c r="G221" s="13"/>
      <c r="H221" s="14"/>
      <c r="I221" s="13"/>
      <c r="J221" s="13"/>
      <c r="K221" s="15" t="str">
        <f aca="false">IF(A221="","",COUNTIF(Quotes!$C$2:$C$301,A221))</f>
        <v/>
      </c>
      <c r="L221" s="15" t="str">
        <f aca="false">IF(A221="","",K221&gt;0)</f>
        <v/>
      </c>
      <c r="M221" s="15" t="str">
        <f aca="false">IF(A221="","",COUNTIF(Picks!$C$2:$C$301,A221))</f>
        <v/>
      </c>
      <c r="N221" s="17" t="str">
        <f aca="false">IF(A221="","",IF(M221=0,"no wins",K221/M221))</f>
        <v/>
      </c>
      <c r="O221" s="15" t="str">
        <f aca="false">IF(A221="","",COUNTIFS(Picks!$C$2:$C$301,A221,Picks!$H$2:$H$301,"Y"))</f>
        <v/>
      </c>
      <c r="P221" s="8"/>
      <c r="Q221" s="8"/>
    </row>
    <row r="222" customFormat="false" ht="15" hidden="false" customHeight="false" outlineLevel="0" collapsed="false">
      <c r="A222" s="13"/>
      <c r="B222" s="13"/>
      <c r="C222" s="13"/>
      <c r="D222" s="13"/>
      <c r="E222" s="13"/>
      <c r="F222" s="13"/>
      <c r="G222" s="13"/>
      <c r="H222" s="14"/>
      <c r="I222" s="13"/>
      <c r="J222" s="13"/>
      <c r="K222" s="15" t="str">
        <f aca="false">IF(A222="","",COUNTIF(Quotes!$C$2:$C$301,A222))</f>
        <v/>
      </c>
      <c r="L222" s="15" t="str">
        <f aca="false">IF(A222="","",K222&gt;0)</f>
        <v/>
      </c>
      <c r="M222" s="15" t="str">
        <f aca="false">IF(A222="","",COUNTIF(Picks!$C$2:$C$301,A222))</f>
        <v/>
      </c>
      <c r="N222" s="17" t="str">
        <f aca="false">IF(A222="","",IF(M222=0,"no wins",K222/M222))</f>
        <v/>
      </c>
      <c r="O222" s="15" t="str">
        <f aca="false">IF(A222="","",COUNTIFS(Picks!$C$2:$C$301,A222,Picks!$H$2:$H$301,"Y"))</f>
        <v/>
      </c>
      <c r="P222" s="8"/>
      <c r="Q222" s="8"/>
    </row>
    <row r="223" customFormat="false" ht="15" hidden="false" customHeight="false" outlineLevel="0" collapsed="false">
      <c r="A223" s="13"/>
      <c r="B223" s="13"/>
      <c r="C223" s="13"/>
      <c r="D223" s="13"/>
      <c r="E223" s="13"/>
      <c r="F223" s="13"/>
      <c r="G223" s="13"/>
      <c r="H223" s="14"/>
      <c r="I223" s="13"/>
      <c r="J223" s="13"/>
      <c r="K223" s="15" t="str">
        <f aca="false">IF(A223="","",COUNTIF(Quotes!$C$2:$C$301,A223))</f>
        <v/>
      </c>
      <c r="L223" s="15" t="str">
        <f aca="false">IF(A223="","",K223&gt;0)</f>
        <v/>
      </c>
      <c r="M223" s="15" t="str">
        <f aca="false">IF(A223="","",COUNTIF(Picks!$C$2:$C$301,A223))</f>
        <v/>
      </c>
      <c r="N223" s="17" t="str">
        <f aca="false">IF(A223="","",IF(M223=0,"no wins",K223/M223))</f>
        <v/>
      </c>
      <c r="O223" s="15" t="str">
        <f aca="false">IF(A223="","",COUNTIFS(Picks!$C$2:$C$301,A223,Picks!$H$2:$H$301,"Y"))</f>
        <v/>
      </c>
      <c r="P223" s="8"/>
      <c r="Q223" s="8"/>
    </row>
    <row r="224" customFormat="false" ht="15" hidden="false" customHeight="false" outlineLevel="0" collapsed="false">
      <c r="A224" s="13"/>
      <c r="B224" s="13"/>
      <c r="C224" s="13"/>
      <c r="D224" s="13"/>
      <c r="E224" s="13"/>
      <c r="F224" s="13"/>
      <c r="G224" s="13"/>
      <c r="H224" s="14"/>
      <c r="I224" s="13"/>
      <c r="J224" s="13"/>
      <c r="K224" s="15" t="str">
        <f aca="false">IF(A224="","",COUNTIF(Quotes!$C$2:$C$301,A224))</f>
        <v/>
      </c>
      <c r="L224" s="15" t="str">
        <f aca="false">IF(A224="","",K224&gt;0)</f>
        <v/>
      </c>
      <c r="M224" s="15" t="str">
        <f aca="false">IF(A224="","",COUNTIF(Picks!$C$2:$C$301,A224))</f>
        <v/>
      </c>
      <c r="N224" s="17" t="str">
        <f aca="false">IF(A224="","",IF(M224=0,"no wins",K224/M224))</f>
        <v/>
      </c>
      <c r="O224" s="15" t="str">
        <f aca="false">IF(A224="","",COUNTIFS(Picks!$C$2:$C$301,A224,Picks!$H$2:$H$301,"Y"))</f>
        <v/>
      </c>
      <c r="P224" s="8"/>
      <c r="Q224" s="8"/>
    </row>
    <row r="225" customFormat="false" ht="15" hidden="false" customHeight="false" outlineLevel="0" collapsed="false">
      <c r="A225" s="13"/>
      <c r="B225" s="13"/>
      <c r="C225" s="13"/>
      <c r="D225" s="13"/>
      <c r="E225" s="13"/>
      <c r="F225" s="13"/>
      <c r="G225" s="13"/>
      <c r="H225" s="14"/>
      <c r="I225" s="13"/>
      <c r="J225" s="13"/>
      <c r="K225" s="15" t="str">
        <f aca="false">IF(A225="","",COUNTIF(Quotes!$C$2:$C$301,A225))</f>
        <v/>
      </c>
      <c r="L225" s="15" t="str">
        <f aca="false">IF(A225="","",K225&gt;0)</f>
        <v/>
      </c>
      <c r="M225" s="15" t="str">
        <f aca="false">IF(A225="","",COUNTIF(Picks!$C$2:$C$301,A225))</f>
        <v/>
      </c>
      <c r="N225" s="17" t="str">
        <f aca="false">IF(A225="","",IF(M225=0,"no wins",K225/M225))</f>
        <v/>
      </c>
      <c r="O225" s="15" t="str">
        <f aca="false">IF(A225="","",COUNTIFS(Picks!$C$2:$C$301,A225,Picks!$H$2:$H$301,"Y"))</f>
        <v/>
      </c>
      <c r="P225" s="8"/>
      <c r="Q225" s="8"/>
    </row>
    <row r="226" customFormat="false" ht="15" hidden="false" customHeight="false" outlineLevel="0" collapsed="false">
      <c r="A226" s="13"/>
      <c r="B226" s="13"/>
      <c r="C226" s="13"/>
      <c r="D226" s="13"/>
      <c r="E226" s="13"/>
      <c r="F226" s="13"/>
      <c r="G226" s="13"/>
      <c r="H226" s="14"/>
      <c r="I226" s="13"/>
      <c r="J226" s="13"/>
      <c r="K226" s="15" t="str">
        <f aca="false">IF(A226="","",COUNTIF(Quotes!$C$2:$C$301,A226))</f>
        <v/>
      </c>
      <c r="L226" s="15" t="str">
        <f aca="false">IF(A226="","",K226&gt;0)</f>
        <v/>
      </c>
      <c r="M226" s="15" t="str">
        <f aca="false">IF(A226="","",COUNTIF(Picks!$C$2:$C$301,A226))</f>
        <v/>
      </c>
      <c r="N226" s="17" t="str">
        <f aca="false">IF(A226="","",IF(M226=0,"no wins",K226/M226))</f>
        <v/>
      </c>
      <c r="O226" s="15" t="str">
        <f aca="false">IF(A226="","",COUNTIFS(Picks!$C$2:$C$301,A226,Picks!$H$2:$H$301,"Y"))</f>
        <v/>
      </c>
      <c r="P226" s="8"/>
      <c r="Q226" s="8"/>
    </row>
    <row r="227" customFormat="false" ht="15" hidden="false" customHeight="false" outlineLevel="0" collapsed="false">
      <c r="A227" s="13"/>
      <c r="B227" s="13"/>
      <c r="C227" s="13"/>
      <c r="D227" s="13"/>
      <c r="E227" s="13"/>
      <c r="F227" s="13"/>
      <c r="G227" s="13"/>
      <c r="H227" s="14"/>
      <c r="I227" s="13"/>
      <c r="J227" s="13"/>
      <c r="K227" s="15" t="str">
        <f aca="false">IF(A227="","",COUNTIF(Quotes!$C$2:$C$301,A227))</f>
        <v/>
      </c>
      <c r="L227" s="15" t="str">
        <f aca="false">IF(A227="","",K227&gt;0)</f>
        <v/>
      </c>
      <c r="M227" s="15" t="str">
        <f aca="false">IF(A227="","",COUNTIF(Picks!$C$2:$C$301,A227))</f>
        <v/>
      </c>
      <c r="N227" s="17" t="str">
        <f aca="false">IF(A227="","",IF(M227=0,"no wins",K227/M227))</f>
        <v/>
      </c>
      <c r="O227" s="15" t="str">
        <f aca="false">IF(A227="","",COUNTIFS(Picks!$C$2:$C$301,A227,Picks!$H$2:$H$301,"Y"))</f>
        <v/>
      </c>
      <c r="P227" s="8"/>
      <c r="Q227" s="8"/>
    </row>
    <row r="228" customFormat="false" ht="15" hidden="false" customHeight="false" outlineLevel="0" collapsed="false">
      <c r="A228" s="13"/>
      <c r="B228" s="13"/>
      <c r="C228" s="13"/>
      <c r="D228" s="13"/>
      <c r="E228" s="13"/>
      <c r="F228" s="13"/>
      <c r="G228" s="13"/>
      <c r="H228" s="14"/>
      <c r="I228" s="13"/>
      <c r="J228" s="13"/>
      <c r="K228" s="15" t="str">
        <f aca="false">IF(A228="","",COUNTIF(Quotes!$C$2:$C$301,A228))</f>
        <v/>
      </c>
      <c r="L228" s="15" t="str">
        <f aca="false">IF(A228="","",K228&gt;0)</f>
        <v/>
      </c>
      <c r="M228" s="15" t="str">
        <f aca="false">IF(A228="","",COUNTIF(Picks!$C$2:$C$301,A228))</f>
        <v/>
      </c>
      <c r="N228" s="17" t="str">
        <f aca="false">IF(A228="","",IF(M228=0,"no wins",K228/M228))</f>
        <v/>
      </c>
      <c r="O228" s="15" t="str">
        <f aca="false">IF(A228="","",COUNTIFS(Picks!$C$2:$C$301,A228,Picks!$H$2:$H$301,"Y"))</f>
        <v/>
      </c>
      <c r="P228" s="8"/>
      <c r="Q228" s="8"/>
    </row>
    <row r="229" customFormat="false" ht="15" hidden="false" customHeight="false" outlineLevel="0" collapsed="false">
      <c r="A229" s="13"/>
      <c r="B229" s="13"/>
      <c r="C229" s="13"/>
      <c r="D229" s="13"/>
      <c r="E229" s="13"/>
      <c r="F229" s="13"/>
      <c r="G229" s="13"/>
      <c r="H229" s="14"/>
      <c r="I229" s="13"/>
      <c r="J229" s="13"/>
      <c r="K229" s="15" t="str">
        <f aca="false">IF(A229="","",COUNTIF(Quotes!$C$2:$C$301,A229))</f>
        <v/>
      </c>
      <c r="L229" s="15" t="str">
        <f aca="false">IF(A229="","",K229&gt;0)</f>
        <v/>
      </c>
      <c r="M229" s="15" t="str">
        <f aca="false">IF(A229="","",COUNTIF(Picks!$C$2:$C$301,A229))</f>
        <v/>
      </c>
      <c r="N229" s="17" t="str">
        <f aca="false">IF(A229="","",IF(M229=0,"no wins",K229/M229))</f>
        <v/>
      </c>
      <c r="O229" s="15" t="str">
        <f aca="false">IF(A229="","",COUNTIFS(Picks!$C$2:$C$301,A229,Picks!$H$2:$H$301,"Y"))</f>
        <v/>
      </c>
      <c r="P229" s="8"/>
      <c r="Q229" s="8"/>
    </row>
    <row r="230" customFormat="false" ht="15" hidden="false" customHeight="false" outlineLevel="0" collapsed="false">
      <c r="A230" s="13"/>
      <c r="B230" s="13"/>
      <c r="C230" s="13"/>
      <c r="D230" s="13"/>
      <c r="E230" s="13"/>
      <c r="F230" s="13"/>
      <c r="G230" s="13"/>
      <c r="H230" s="14"/>
      <c r="I230" s="13"/>
      <c r="J230" s="13"/>
      <c r="K230" s="15" t="str">
        <f aca="false">IF(A230="","",COUNTIF(Quotes!$C$2:$C$301,A230))</f>
        <v/>
      </c>
      <c r="L230" s="15" t="str">
        <f aca="false">IF(A230="","",K230&gt;0)</f>
        <v/>
      </c>
      <c r="M230" s="15" t="str">
        <f aca="false">IF(A230="","",COUNTIF(Picks!$C$2:$C$301,A230))</f>
        <v/>
      </c>
      <c r="N230" s="17" t="str">
        <f aca="false">IF(A230="","",IF(M230=0,"no wins",K230/M230))</f>
        <v/>
      </c>
      <c r="O230" s="15" t="str">
        <f aca="false">IF(A230="","",COUNTIFS(Picks!$C$2:$C$301,A230,Picks!$H$2:$H$301,"Y"))</f>
        <v/>
      </c>
      <c r="P230" s="8"/>
      <c r="Q230" s="8"/>
    </row>
    <row r="231" customFormat="false" ht="15" hidden="false" customHeight="false" outlineLevel="0" collapsed="false">
      <c r="A231" s="13"/>
      <c r="B231" s="13"/>
      <c r="C231" s="13"/>
      <c r="D231" s="13"/>
      <c r="E231" s="13"/>
      <c r="F231" s="13"/>
      <c r="G231" s="13"/>
      <c r="H231" s="14"/>
      <c r="I231" s="13"/>
      <c r="J231" s="13"/>
      <c r="K231" s="15" t="str">
        <f aca="false">IF(A231="","",COUNTIF(Quotes!$C$2:$C$301,A231))</f>
        <v/>
      </c>
      <c r="L231" s="15" t="str">
        <f aca="false">IF(A231="","",K231&gt;0)</f>
        <v/>
      </c>
      <c r="M231" s="15" t="str">
        <f aca="false">IF(A231="","",COUNTIF(Picks!$C$2:$C$301,A231))</f>
        <v/>
      </c>
      <c r="N231" s="17" t="str">
        <f aca="false">IF(A231="","",IF(M231=0,"no wins",K231/M231))</f>
        <v/>
      </c>
      <c r="O231" s="15" t="str">
        <f aca="false">IF(A231="","",COUNTIFS(Picks!$C$2:$C$301,A231,Picks!$H$2:$H$301,"Y"))</f>
        <v/>
      </c>
      <c r="P231" s="8"/>
      <c r="Q231" s="8"/>
    </row>
    <row r="232" customFormat="false" ht="15" hidden="false" customHeight="false" outlineLevel="0" collapsed="false">
      <c r="A232" s="13"/>
      <c r="B232" s="13"/>
      <c r="C232" s="13"/>
      <c r="D232" s="13"/>
      <c r="E232" s="13"/>
      <c r="F232" s="13"/>
      <c r="G232" s="13"/>
      <c r="H232" s="14"/>
      <c r="I232" s="13"/>
      <c r="J232" s="13"/>
      <c r="K232" s="15" t="str">
        <f aca="false">IF(A232="","",COUNTIF(Quotes!$C$2:$C$301,A232))</f>
        <v/>
      </c>
      <c r="L232" s="15" t="str">
        <f aca="false">IF(A232="","",K232&gt;0)</f>
        <v/>
      </c>
      <c r="M232" s="15" t="str">
        <f aca="false">IF(A232="","",COUNTIF(Picks!$C$2:$C$301,A232))</f>
        <v/>
      </c>
      <c r="N232" s="17" t="str">
        <f aca="false">IF(A232="","",IF(M232=0,"no wins",K232/M232))</f>
        <v/>
      </c>
      <c r="O232" s="15" t="str">
        <f aca="false">IF(A232="","",COUNTIFS(Picks!$C$2:$C$301,A232,Picks!$H$2:$H$301,"Y"))</f>
        <v/>
      </c>
      <c r="P232" s="8"/>
      <c r="Q232" s="8"/>
    </row>
    <row r="233" customFormat="false" ht="15" hidden="false" customHeight="false" outlineLevel="0" collapsed="false">
      <c r="A233" s="13"/>
      <c r="B233" s="13"/>
      <c r="C233" s="13"/>
      <c r="D233" s="13"/>
      <c r="E233" s="13"/>
      <c r="F233" s="13"/>
      <c r="G233" s="13"/>
      <c r="H233" s="14"/>
      <c r="I233" s="13"/>
      <c r="J233" s="13"/>
      <c r="K233" s="15" t="str">
        <f aca="false">IF(A233="","",COUNTIF(Quotes!$C$2:$C$301,A233))</f>
        <v/>
      </c>
      <c r="L233" s="15" t="str">
        <f aca="false">IF(A233="","",K233&gt;0)</f>
        <v/>
      </c>
      <c r="M233" s="15" t="str">
        <f aca="false">IF(A233="","",COUNTIF(Picks!$C$2:$C$301,A233))</f>
        <v/>
      </c>
      <c r="N233" s="17" t="str">
        <f aca="false">IF(A233="","",IF(M233=0,"no wins",K233/M233))</f>
        <v/>
      </c>
      <c r="O233" s="15" t="str">
        <f aca="false">IF(A233="","",COUNTIFS(Picks!$C$2:$C$301,A233,Picks!$H$2:$H$301,"Y"))</f>
        <v/>
      </c>
      <c r="P233" s="8"/>
      <c r="Q233" s="8"/>
    </row>
    <row r="234" customFormat="false" ht="15" hidden="false" customHeight="false" outlineLevel="0" collapsed="false">
      <c r="A234" s="13"/>
      <c r="B234" s="13"/>
      <c r="C234" s="13"/>
      <c r="D234" s="13"/>
      <c r="E234" s="13"/>
      <c r="F234" s="13"/>
      <c r="G234" s="13"/>
      <c r="H234" s="14"/>
      <c r="I234" s="13"/>
      <c r="J234" s="13"/>
      <c r="K234" s="15" t="str">
        <f aca="false">IF(A234="","",COUNTIF(Quotes!$C$2:$C$301,A234))</f>
        <v/>
      </c>
      <c r="L234" s="15" t="str">
        <f aca="false">IF(A234="","",K234&gt;0)</f>
        <v/>
      </c>
      <c r="M234" s="15" t="str">
        <f aca="false">IF(A234="","",COUNTIF(Picks!$C$2:$C$301,A234))</f>
        <v/>
      </c>
      <c r="N234" s="17" t="str">
        <f aca="false">IF(A234="","",IF(M234=0,"no wins",K234/M234))</f>
        <v/>
      </c>
      <c r="O234" s="15" t="str">
        <f aca="false">IF(A234="","",COUNTIFS(Picks!$C$2:$C$301,A234,Picks!$H$2:$H$301,"Y"))</f>
        <v/>
      </c>
      <c r="P234" s="8"/>
      <c r="Q234" s="8"/>
    </row>
    <row r="235" customFormat="false" ht="15" hidden="false" customHeight="false" outlineLevel="0" collapsed="false">
      <c r="A235" s="13"/>
      <c r="B235" s="13"/>
      <c r="C235" s="13"/>
      <c r="D235" s="13"/>
      <c r="E235" s="13"/>
      <c r="F235" s="13"/>
      <c r="G235" s="13"/>
      <c r="H235" s="14"/>
      <c r="I235" s="13"/>
      <c r="J235" s="13"/>
      <c r="K235" s="15" t="str">
        <f aca="false">IF(A235="","",COUNTIF(Quotes!$C$2:$C$301,A235))</f>
        <v/>
      </c>
      <c r="L235" s="15" t="str">
        <f aca="false">IF(A235="","",K235&gt;0)</f>
        <v/>
      </c>
      <c r="M235" s="15" t="str">
        <f aca="false">IF(A235="","",COUNTIF(Picks!$C$2:$C$301,A235))</f>
        <v/>
      </c>
      <c r="N235" s="17" t="str">
        <f aca="false">IF(A235="","",IF(M235=0,"no wins",K235/M235))</f>
        <v/>
      </c>
      <c r="O235" s="15" t="str">
        <f aca="false">IF(A235="","",COUNTIFS(Picks!$C$2:$C$301,A235,Picks!$H$2:$H$301,"Y"))</f>
        <v/>
      </c>
      <c r="P235" s="8"/>
      <c r="Q235" s="8"/>
    </row>
    <row r="236" customFormat="false" ht="15" hidden="false" customHeight="false" outlineLevel="0" collapsed="false">
      <c r="A236" s="13"/>
      <c r="B236" s="13"/>
      <c r="C236" s="13"/>
      <c r="D236" s="13"/>
      <c r="E236" s="13"/>
      <c r="F236" s="13"/>
      <c r="G236" s="13"/>
      <c r="H236" s="14"/>
      <c r="I236" s="13"/>
      <c r="J236" s="13"/>
      <c r="K236" s="15" t="str">
        <f aca="false">IF(A236="","",COUNTIF(Quotes!$C$2:$C$301,A236))</f>
        <v/>
      </c>
      <c r="L236" s="15" t="str">
        <f aca="false">IF(A236="","",K236&gt;0)</f>
        <v/>
      </c>
      <c r="M236" s="15" t="str">
        <f aca="false">IF(A236="","",COUNTIF(Picks!$C$2:$C$301,A236))</f>
        <v/>
      </c>
      <c r="N236" s="17" t="str">
        <f aca="false">IF(A236="","",IF(M236=0,"no wins",K236/M236))</f>
        <v/>
      </c>
      <c r="O236" s="15" t="str">
        <f aca="false">IF(A236="","",COUNTIFS(Picks!$C$2:$C$301,A236,Picks!$H$2:$H$301,"Y"))</f>
        <v/>
      </c>
      <c r="P236" s="8"/>
      <c r="Q236" s="8"/>
    </row>
    <row r="237" customFormat="false" ht="15" hidden="false" customHeight="false" outlineLevel="0" collapsed="false">
      <c r="A237" s="13"/>
      <c r="B237" s="13"/>
      <c r="C237" s="13"/>
      <c r="D237" s="13"/>
      <c r="E237" s="13"/>
      <c r="F237" s="13"/>
      <c r="G237" s="13"/>
      <c r="H237" s="14"/>
      <c r="I237" s="13"/>
      <c r="J237" s="13"/>
      <c r="K237" s="15" t="str">
        <f aca="false">IF(A237="","",COUNTIF(Quotes!$C$2:$C$301,A237))</f>
        <v/>
      </c>
      <c r="L237" s="15" t="str">
        <f aca="false">IF(A237="","",K237&gt;0)</f>
        <v/>
      </c>
      <c r="M237" s="15" t="str">
        <f aca="false">IF(A237="","",COUNTIF(Picks!$C$2:$C$301,A237))</f>
        <v/>
      </c>
      <c r="N237" s="17" t="str">
        <f aca="false">IF(A237="","",IF(M237=0,"no wins",K237/M237))</f>
        <v/>
      </c>
      <c r="O237" s="15" t="str">
        <f aca="false">IF(A237="","",COUNTIFS(Picks!$C$2:$C$301,A237,Picks!$H$2:$H$301,"Y"))</f>
        <v/>
      </c>
      <c r="P237" s="8"/>
      <c r="Q237" s="8"/>
    </row>
    <row r="238" customFormat="false" ht="15" hidden="false" customHeight="false" outlineLevel="0" collapsed="false">
      <c r="A238" s="13"/>
      <c r="B238" s="13"/>
      <c r="C238" s="13"/>
      <c r="D238" s="13"/>
      <c r="E238" s="13"/>
      <c r="F238" s="13"/>
      <c r="G238" s="13"/>
      <c r="H238" s="14"/>
      <c r="I238" s="13"/>
      <c r="J238" s="13"/>
      <c r="K238" s="15" t="str">
        <f aca="false">IF(A238="","",COUNTIF(Quotes!$C$2:$C$301,A238))</f>
        <v/>
      </c>
      <c r="L238" s="15" t="str">
        <f aca="false">IF(A238="","",K238&gt;0)</f>
        <v/>
      </c>
      <c r="M238" s="15" t="str">
        <f aca="false">IF(A238="","",COUNTIF(Picks!$C$2:$C$301,A238))</f>
        <v/>
      </c>
      <c r="N238" s="17" t="str">
        <f aca="false">IF(A238="","",IF(M238=0,"no wins",K238/M238))</f>
        <v/>
      </c>
      <c r="O238" s="15" t="str">
        <f aca="false">IF(A238="","",COUNTIFS(Picks!$C$2:$C$301,A238,Picks!$H$2:$H$301,"Y"))</f>
        <v/>
      </c>
      <c r="P238" s="8"/>
      <c r="Q238" s="8"/>
    </row>
    <row r="239" customFormat="false" ht="15" hidden="false" customHeight="false" outlineLevel="0" collapsed="false">
      <c r="A239" s="13"/>
      <c r="B239" s="13"/>
      <c r="C239" s="13"/>
      <c r="D239" s="13"/>
      <c r="E239" s="13"/>
      <c r="F239" s="13"/>
      <c r="G239" s="13"/>
      <c r="H239" s="14"/>
      <c r="I239" s="13"/>
      <c r="J239" s="13"/>
      <c r="K239" s="15" t="str">
        <f aca="false">IF(A239="","",COUNTIF(Quotes!$C$2:$C$301,A239))</f>
        <v/>
      </c>
      <c r="L239" s="15" t="str">
        <f aca="false">IF(A239="","",K239&gt;0)</f>
        <v/>
      </c>
      <c r="M239" s="15" t="str">
        <f aca="false">IF(A239="","",COUNTIF(Picks!$C$2:$C$301,A239))</f>
        <v/>
      </c>
      <c r="N239" s="17" t="str">
        <f aca="false">IF(A239="","",IF(M239=0,"no wins",K239/M239))</f>
        <v/>
      </c>
      <c r="O239" s="15" t="str">
        <f aca="false">IF(A239="","",COUNTIFS(Picks!$C$2:$C$301,A239,Picks!$H$2:$H$301,"Y"))</f>
        <v/>
      </c>
      <c r="P239" s="8"/>
      <c r="Q239" s="8"/>
    </row>
    <row r="240" customFormat="false" ht="15" hidden="false" customHeight="false" outlineLevel="0" collapsed="false">
      <c r="A240" s="13"/>
      <c r="B240" s="13"/>
      <c r="C240" s="13"/>
      <c r="D240" s="13"/>
      <c r="E240" s="13"/>
      <c r="F240" s="13"/>
      <c r="G240" s="13"/>
      <c r="H240" s="14"/>
      <c r="I240" s="13"/>
      <c r="J240" s="13"/>
      <c r="K240" s="15" t="str">
        <f aca="false">IF(A240="","",COUNTIF(Quotes!$C$2:$C$301,A240))</f>
        <v/>
      </c>
      <c r="L240" s="15" t="str">
        <f aca="false">IF(A240="","",K240&gt;0)</f>
        <v/>
      </c>
      <c r="M240" s="15" t="str">
        <f aca="false">IF(A240="","",COUNTIF(Picks!$C$2:$C$301,A240))</f>
        <v/>
      </c>
      <c r="N240" s="17" t="str">
        <f aca="false">IF(A240="","",IF(M240=0,"no wins",K240/M240))</f>
        <v/>
      </c>
      <c r="O240" s="15" t="str">
        <f aca="false">IF(A240="","",COUNTIFS(Picks!$C$2:$C$301,A240,Picks!$H$2:$H$301,"Y"))</f>
        <v/>
      </c>
      <c r="P240" s="8"/>
      <c r="Q240" s="8"/>
    </row>
    <row r="241" customFormat="false" ht="15" hidden="false" customHeight="false" outlineLevel="0" collapsed="false">
      <c r="A241" s="13"/>
      <c r="B241" s="13"/>
      <c r="C241" s="13"/>
      <c r="D241" s="13"/>
      <c r="E241" s="13"/>
      <c r="F241" s="13"/>
      <c r="G241" s="13"/>
      <c r="H241" s="14"/>
      <c r="I241" s="13"/>
      <c r="J241" s="13"/>
      <c r="K241" s="15" t="str">
        <f aca="false">IF(A241="","",COUNTIF(Quotes!$C$2:$C$301,A241))</f>
        <v/>
      </c>
      <c r="L241" s="15" t="str">
        <f aca="false">IF(A241="","",K241&gt;0)</f>
        <v/>
      </c>
      <c r="M241" s="15" t="str">
        <f aca="false">IF(A241="","",COUNTIF(Picks!$C$2:$C$301,A241))</f>
        <v/>
      </c>
      <c r="N241" s="17" t="str">
        <f aca="false">IF(A241="","",IF(M241=0,"no wins",K241/M241))</f>
        <v/>
      </c>
      <c r="O241" s="15" t="str">
        <f aca="false">IF(A241="","",COUNTIFS(Picks!$C$2:$C$301,A241,Picks!$H$2:$H$301,"Y"))</f>
        <v/>
      </c>
      <c r="P241" s="8"/>
      <c r="Q241" s="8"/>
    </row>
    <row r="242" customFormat="false" ht="15" hidden="false" customHeight="false" outlineLevel="0" collapsed="false">
      <c r="A242" s="13"/>
      <c r="B242" s="13"/>
      <c r="C242" s="13"/>
      <c r="D242" s="13"/>
      <c r="E242" s="13"/>
      <c r="F242" s="13"/>
      <c r="G242" s="13"/>
      <c r="H242" s="14"/>
      <c r="I242" s="13"/>
      <c r="J242" s="13"/>
      <c r="K242" s="15" t="str">
        <f aca="false">IF(A242="","",COUNTIF(Quotes!$C$2:$C$301,A242))</f>
        <v/>
      </c>
      <c r="L242" s="15" t="str">
        <f aca="false">IF(A242="","",K242&gt;0)</f>
        <v/>
      </c>
      <c r="M242" s="15" t="str">
        <f aca="false">IF(A242="","",COUNTIF(Picks!$C$2:$C$301,A242))</f>
        <v/>
      </c>
      <c r="N242" s="17" t="str">
        <f aca="false">IF(A242="","",IF(M242=0,"no wins",K242/M242))</f>
        <v/>
      </c>
      <c r="O242" s="15" t="str">
        <f aca="false">IF(A242="","",COUNTIFS(Picks!$C$2:$C$301,A242,Picks!$H$2:$H$301,"Y"))</f>
        <v/>
      </c>
      <c r="P242" s="8"/>
      <c r="Q242" s="8"/>
    </row>
    <row r="243" customFormat="false" ht="15" hidden="false" customHeight="false" outlineLevel="0" collapsed="false">
      <c r="A243" s="13"/>
      <c r="B243" s="13"/>
      <c r="C243" s="13"/>
      <c r="D243" s="13"/>
      <c r="E243" s="13"/>
      <c r="F243" s="13"/>
      <c r="G243" s="13"/>
      <c r="H243" s="14"/>
      <c r="I243" s="13"/>
      <c r="J243" s="13"/>
      <c r="K243" s="15" t="str">
        <f aca="false">IF(A243="","",COUNTIF(Quotes!$C$2:$C$301,A243))</f>
        <v/>
      </c>
      <c r="L243" s="15" t="str">
        <f aca="false">IF(A243="","",K243&gt;0)</f>
        <v/>
      </c>
      <c r="M243" s="15" t="str">
        <f aca="false">IF(A243="","",COUNTIF(Picks!$C$2:$C$301,A243))</f>
        <v/>
      </c>
      <c r="N243" s="17" t="str">
        <f aca="false">IF(A243="","",IF(M243=0,"no wins",K243/M243))</f>
        <v/>
      </c>
      <c r="O243" s="15" t="str">
        <f aca="false">IF(A243="","",COUNTIFS(Picks!$C$2:$C$301,A243,Picks!$H$2:$H$301,"Y"))</f>
        <v/>
      </c>
      <c r="P243" s="8"/>
      <c r="Q243" s="8"/>
    </row>
    <row r="244" customFormat="false" ht="15" hidden="false" customHeight="false" outlineLevel="0" collapsed="false">
      <c r="A244" s="13"/>
      <c r="B244" s="13"/>
      <c r="C244" s="13"/>
      <c r="D244" s="13"/>
      <c r="E244" s="13"/>
      <c r="F244" s="13"/>
      <c r="G244" s="13"/>
      <c r="H244" s="14"/>
      <c r="I244" s="13"/>
      <c r="J244" s="13"/>
      <c r="K244" s="15" t="str">
        <f aca="false">IF(A244="","",COUNTIF(Quotes!$C$2:$C$301,A244))</f>
        <v/>
      </c>
      <c r="L244" s="15" t="str">
        <f aca="false">IF(A244="","",K244&gt;0)</f>
        <v/>
      </c>
      <c r="M244" s="15" t="str">
        <f aca="false">IF(A244="","",COUNTIF(Picks!$C$2:$C$301,A244))</f>
        <v/>
      </c>
      <c r="N244" s="17" t="str">
        <f aca="false">IF(A244="","",IF(M244=0,"no wins",K244/M244))</f>
        <v/>
      </c>
      <c r="O244" s="15" t="str">
        <f aca="false">IF(A244="","",COUNTIFS(Picks!$C$2:$C$301,A244,Picks!$H$2:$H$301,"Y"))</f>
        <v/>
      </c>
      <c r="P244" s="8"/>
      <c r="Q244" s="8"/>
    </row>
    <row r="245" customFormat="false" ht="15" hidden="false" customHeight="false" outlineLevel="0" collapsed="false">
      <c r="A245" s="13"/>
      <c r="B245" s="13"/>
      <c r="C245" s="13"/>
      <c r="D245" s="13"/>
      <c r="E245" s="13"/>
      <c r="F245" s="13"/>
      <c r="G245" s="13"/>
      <c r="H245" s="14"/>
      <c r="I245" s="13"/>
      <c r="J245" s="13"/>
      <c r="K245" s="15" t="str">
        <f aca="false">IF(A245="","",COUNTIF(Quotes!$C$2:$C$301,A245))</f>
        <v/>
      </c>
      <c r="L245" s="15" t="str">
        <f aca="false">IF(A245="","",K245&gt;0)</f>
        <v/>
      </c>
      <c r="M245" s="15" t="str">
        <f aca="false">IF(A245="","",COUNTIF(Picks!$C$2:$C$301,A245))</f>
        <v/>
      </c>
      <c r="N245" s="17" t="str">
        <f aca="false">IF(A245="","",IF(M245=0,"no wins",K245/M245))</f>
        <v/>
      </c>
      <c r="O245" s="15" t="str">
        <f aca="false">IF(A245="","",COUNTIFS(Picks!$C$2:$C$301,A245,Picks!$H$2:$H$301,"Y"))</f>
        <v/>
      </c>
      <c r="P245" s="8"/>
      <c r="Q245" s="8"/>
    </row>
    <row r="246" customFormat="false" ht="15" hidden="false" customHeight="false" outlineLevel="0" collapsed="false">
      <c r="A246" s="13"/>
      <c r="B246" s="13"/>
      <c r="C246" s="13"/>
      <c r="D246" s="13"/>
      <c r="E246" s="13"/>
      <c r="F246" s="13"/>
      <c r="G246" s="13"/>
      <c r="H246" s="14"/>
      <c r="I246" s="13"/>
      <c r="J246" s="13"/>
      <c r="K246" s="15" t="str">
        <f aca="false">IF(A246="","",COUNTIF(Quotes!$C$2:$C$301,A246))</f>
        <v/>
      </c>
      <c r="L246" s="15" t="str">
        <f aca="false">IF(A246="","",K246&gt;0)</f>
        <v/>
      </c>
      <c r="M246" s="15" t="str">
        <f aca="false">IF(A246="","",COUNTIF(Picks!$C$2:$C$301,A246))</f>
        <v/>
      </c>
      <c r="N246" s="17" t="str">
        <f aca="false">IF(A246="","",IF(M246=0,"no wins",K246/M246))</f>
        <v/>
      </c>
      <c r="O246" s="15" t="str">
        <f aca="false">IF(A246="","",COUNTIFS(Picks!$C$2:$C$301,A246,Picks!$H$2:$H$301,"Y"))</f>
        <v/>
      </c>
      <c r="P246" s="8"/>
      <c r="Q246" s="8"/>
    </row>
    <row r="247" customFormat="false" ht="15" hidden="false" customHeight="false" outlineLevel="0" collapsed="false">
      <c r="A247" s="13"/>
      <c r="B247" s="13"/>
      <c r="C247" s="13"/>
      <c r="D247" s="13"/>
      <c r="E247" s="13"/>
      <c r="F247" s="13"/>
      <c r="G247" s="13"/>
      <c r="H247" s="14"/>
      <c r="I247" s="13"/>
      <c r="J247" s="13"/>
      <c r="K247" s="15" t="str">
        <f aca="false">IF(A247="","",COUNTIF(Quotes!$C$2:$C$301,A247))</f>
        <v/>
      </c>
      <c r="L247" s="15" t="str">
        <f aca="false">IF(A247="","",K247&gt;0)</f>
        <v/>
      </c>
      <c r="M247" s="15" t="str">
        <f aca="false">IF(A247="","",COUNTIF(Picks!$C$2:$C$301,A247))</f>
        <v/>
      </c>
      <c r="N247" s="17" t="str">
        <f aca="false">IF(A247="","",IF(M247=0,"no wins",K247/M247))</f>
        <v/>
      </c>
      <c r="O247" s="15" t="str">
        <f aca="false">IF(A247="","",COUNTIFS(Picks!$C$2:$C$301,A247,Picks!$H$2:$H$301,"Y"))</f>
        <v/>
      </c>
      <c r="P247" s="8"/>
      <c r="Q247" s="8"/>
    </row>
    <row r="248" customFormat="false" ht="15" hidden="false" customHeight="false" outlineLevel="0" collapsed="false">
      <c r="A248" s="13"/>
      <c r="B248" s="13"/>
      <c r="C248" s="13"/>
      <c r="D248" s="13"/>
      <c r="E248" s="13"/>
      <c r="F248" s="13"/>
      <c r="G248" s="13"/>
      <c r="H248" s="14"/>
      <c r="I248" s="13"/>
      <c r="J248" s="13"/>
      <c r="K248" s="15" t="str">
        <f aca="false">IF(A248="","",COUNTIF(Quotes!$C$2:$C$301,A248))</f>
        <v/>
      </c>
      <c r="L248" s="15" t="str">
        <f aca="false">IF(A248="","",K248&gt;0)</f>
        <v/>
      </c>
      <c r="M248" s="15" t="str">
        <f aca="false">IF(A248="","",COUNTIF(Picks!$C$2:$C$301,A248))</f>
        <v/>
      </c>
      <c r="N248" s="17" t="str">
        <f aca="false">IF(A248="","",IF(M248=0,"no wins",K248/M248))</f>
        <v/>
      </c>
      <c r="O248" s="15" t="str">
        <f aca="false">IF(A248="","",COUNTIFS(Picks!$C$2:$C$301,A248,Picks!$H$2:$H$301,"Y"))</f>
        <v/>
      </c>
      <c r="P248" s="8"/>
      <c r="Q248" s="8"/>
    </row>
    <row r="249" customFormat="false" ht="15" hidden="false" customHeight="false" outlineLevel="0" collapsed="false">
      <c r="A249" s="13"/>
      <c r="B249" s="13"/>
      <c r="C249" s="13"/>
      <c r="D249" s="13"/>
      <c r="E249" s="13"/>
      <c r="F249" s="13"/>
      <c r="G249" s="13"/>
      <c r="H249" s="14"/>
      <c r="I249" s="13"/>
      <c r="J249" s="13"/>
      <c r="K249" s="15" t="str">
        <f aca="false">IF(A249="","",COUNTIF(Quotes!$C$2:$C$301,A249))</f>
        <v/>
      </c>
      <c r="L249" s="15" t="str">
        <f aca="false">IF(A249="","",K249&gt;0)</f>
        <v/>
      </c>
      <c r="M249" s="15" t="str">
        <f aca="false">IF(A249="","",COUNTIF(Picks!$C$2:$C$301,A249))</f>
        <v/>
      </c>
      <c r="N249" s="17" t="str">
        <f aca="false">IF(A249="","",IF(M249=0,"no wins",K249/M249))</f>
        <v/>
      </c>
      <c r="O249" s="15" t="str">
        <f aca="false">IF(A249="","",COUNTIFS(Picks!$C$2:$C$301,A249,Picks!$H$2:$H$301,"Y"))</f>
        <v/>
      </c>
      <c r="P249" s="8"/>
      <c r="Q249" s="8"/>
    </row>
    <row r="250" customFormat="false" ht="15" hidden="false" customHeight="false" outlineLevel="0" collapsed="false">
      <c r="A250" s="13"/>
      <c r="B250" s="13"/>
      <c r="C250" s="13"/>
      <c r="D250" s="13"/>
      <c r="E250" s="13"/>
      <c r="F250" s="13"/>
      <c r="G250" s="13"/>
      <c r="H250" s="14"/>
      <c r="I250" s="13"/>
      <c r="J250" s="13"/>
      <c r="K250" s="15" t="str">
        <f aca="false">IF(A250="","",COUNTIF(Quotes!$C$2:$C$301,A250))</f>
        <v/>
      </c>
      <c r="L250" s="15" t="str">
        <f aca="false">IF(A250="","",K250&gt;0)</f>
        <v/>
      </c>
      <c r="M250" s="15" t="str">
        <f aca="false">IF(A250="","",COUNTIF(Picks!$C$2:$C$301,A250))</f>
        <v/>
      </c>
      <c r="N250" s="17" t="str">
        <f aca="false">IF(A250="","",IF(M250=0,"no wins",K250/M250))</f>
        <v/>
      </c>
      <c r="O250" s="15" t="str">
        <f aca="false">IF(A250="","",COUNTIFS(Picks!$C$2:$C$301,A250,Picks!$H$2:$H$301,"Y"))</f>
        <v/>
      </c>
      <c r="P250" s="8"/>
      <c r="Q250" s="8"/>
    </row>
    <row r="251" customFormat="false" ht="15" hidden="false" customHeight="false" outlineLevel="0" collapsed="false">
      <c r="A251" s="13"/>
      <c r="B251" s="13"/>
      <c r="C251" s="13"/>
      <c r="D251" s="13"/>
      <c r="E251" s="13"/>
      <c r="F251" s="13"/>
      <c r="G251" s="13"/>
      <c r="H251" s="14"/>
      <c r="I251" s="13"/>
      <c r="J251" s="13"/>
      <c r="K251" s="15" t="str">
        <f aca="false">IF(A251="","",COUNTIF(Quotes!$C$2:$C$301,A251))</f>
        <v/>
      </c>
      <c r="L251" s="15" t="str">
        <f aca="false">IF(A251="","",K251&gt;0)</f>
        <v/>
      </c>
      <c r="M251" s="15" t="str">
        <f aca="false">IF(A251="","",COUNTIF(Picks!$C$2:$C$301,A251))</f>
        <v/>
      </c>
      <c r="N251" s="17" t="str">
        <f aca="false">IF(A251="","",IF(M251=0,"no wins",K251/M251))</f>
        <v/>
      </c>
      <c r="O251" s="15" t="str">
        <f aca="false">IF(A251="","",COUNTIFS(Picks!$C$2:$C$301,A251,Picks!$H$2:$H$301,"Y"))</f>
        <v/>
      </c>
      <c r="P251" s="8"/>
      <c r="Q251" s="8"/>
    </row>
    <row r="252" customFormat="false" ht="15" hidden="false" customHeight="false" outlineLevel="0" collapsed="false">
      <c r="A252" s="13"/>
      <c r="B252" s="13"/>
      <c r="C252" s="13"/>
      <c r="D252" s="13"/>
      <c r="E252" s="13"/>
      <c r="F252" s="13"/>
      <c r="G252" s="13"/>
      <c r="H252" s="14"/>
      <c r="I252" s="13"/>
      <c r="J252" s="13"/>
      <c r="K252" s="15" t="str">
        <f aca="false">IF(A252="","",COUNTIF(Quotes!$C$2:$C$301,A252))</f>
        <v/>
      </c>
      <c r="L252" s="15" t="str">
        <f aca="false">IF(A252="","",K252&gt;0)</f>
        <v/>
      </c>
      <c r="M252" s="15" t="str">
        <f aca="false">IF(A252="","",COUNTIF(Picks!$C$2:$C$301,A252))</f>
        <v/>
      </c>
      <c r="N252" s="17" t="str">
        <f aca="false">IF(A252="","",IF(M252=0,"no wins",K252/M252))</f>
        <v/>
      </c>
      <c r="O252" s="15" t="str">
        <f aca="false">IF(A252="","",COUNTIFS(Picks!$C$2:$C$301,A252,Picks!$H$2:$H$301,"Y"))</f>
        <v/>
      </c>
      <c r="P252" s="8"/>
      <c r="Q252" s="8"/>
    </row>
    <row r="253" customFormat="false" ht="15" hidden="false" customHeight="false" outlineLevel="0" collapsed="false">
      <c r="A253" s="13"/>
      <c r="B253" s="13"/>
      <c r="C253" s="13"/>
      <c r="D253" s="13"/>
      <c r="E253" s="13"/>
      <c r="F253" s="13"/>
      <c r="G253" s="13"/>
      <c r="H253" s="14"/>
      <c r="I253" s="13"/>
      <c r="J253" s="13"/>
      <c r="K253" s="15" t="str">
        <f aca="false">IF(A253="","",COUNTIF(Quotes!$C$2:$C$301,A253))</f>
        <v/>
      </c>
      <c r="L253" s="15" t="str">
        <f aca="false">IF(A253="","",K253&gt;0)</f>
        <v/>
      </c>
      <c r="M253" s="15" t="str">
        <f aca="false">IF(A253="","",COUNTIF(Picks!$C$2:$C$301,A253))</f>
        <v/>
      </c>
      <c r="N253" s="17" t="str">
        <f aca="false">IF(A253="","",IF(M253=0,"no wins",K253/M253))</f>
        <v/>
      </c>
      <c r="O253" s="15" t="str">
        <f aca="false">IF(A253="","",COUNTIFS(Picks!$C$2:$C$301,A253,Picks!$H$2:$H$301,"Y"))</f>
        <v/>
      </c>
      <c r="P253" s="8"/>
      <c r="Q253" s="8"/>
    </row>
    <row r="254" customFormat="false" ht="15" hidden="false" customHeight="false" outlineLevel="0" collapsed="false">
      <c r="A254" s="13"/>
      <c r="B254" s="13"/>
      <c r="C254" s="13"/>
      <c r="D254" s="13"/>
      <c r="E254" s="13"/>
      <c r="F254" s="13"/>
      <c r="G254" s="13"/>
      <c r="H254" s="14"/>
      <c r="I254" s="13"/>
      <c r="J254" s="13"/>
      <c r="K254" s="15" t="str">
        <f aca="false">IF(A254="","",COUNTIF(Quotes!$C$2:$C$301,A254))</f>
        <v/>
      </c>
      <c r="L254" s="15" t="str">
        <f aca="false">IF(A254="","",K254&gt;0)</f>
        <v/>
      </c>
      <c r="M254" s="15" t="str">
        <f aca="false">IF(A254="","",COUNTIF(Picks!$C$2:$C$301,A254))</f>
        <v/>
      </c>
      <c r="N254" s="17" t="str">
        <f aca="false">IF(A254="","",IF(M254=0,"no wins",K254/M254))</f>
        <v/>
      </c>
      <c r="O254" s="15" t="str">
        <f aca="false">IF(A254="","",COUNTIFS(Picks!$C$2:$C$301,A254,Picks!$H$2:$H$301,"Y"))</f>
        <v/>
      </c>
      <c r="P254" s="8"/>
      <c r="Q254" s="8"/>
    </row>
    <row r="255" customFormat="false" ht="15" hidden="false" customHeight="false" outlineLevel="0" collapsed="false">
      <c r="A255" s="13"/>
      <c r="B255" s="13"/>
      <c r="C255" s="13"/>
      <c r="D255" s="13"/>
      <c r="E255" s="13"/>
      <c r="F255" s="13"/>
      <c r="G255" s="13"/>
      <c r="H255" s="14"/>
      <c r="I255" s="13"/>
      <c r="J255" s="13"/>
      <c r="K255" s="15" t="str">
        <f aca="false">IF(A255="","",COUNTIF(Quotes!$C$2:$C$301,A255))</f>
        <v/>
      </c>
      <c r="L255" s="15" t="str">
        <f aca="false">IF(A255="","",K255&gt;0)</f>
        <v/>
      </c>
      <c r="M255" s="15" t="str">
        <f aca="false">IF(A255="","",COUNTIF(Picks!$C$2:$C$301,A255))</f>
        <v/>
      </c>
      <c r="N255" s="17" t="str">
        <f aca="false">IF(A255="","",IF(M255=0,"no wins",K255/M255))</f>
        <v/>
      </c>
      <c r="O255" s="15" t="str">
        <f aca="false">IF(A255="","",COUNTIFS(Picks!$C$2:$C$301,A255,Picks!$H$2:$H$301,"Y"))</f>
        <v/>
      </c>
      <c r="P255" s="8"/>
      <c r="Q255" s="8"/>
    </row>
    <row r="256" customFormat="false" ht="15" hidden="false" customHeight="false" outlineLevel="0" collapsed="false">
      <c r="A256" s="13"/>
      <c r="B256" s="13"/>
      <c r="C256" s="13"/>
      <c r="D256" s="13"/>
      <c r="E256" s="13"/>
      <c r="F256" s="13"/>
      <c r="G256" s="13"/>
      <c r="H256" s="14"/>
      <c r="I256" s="13"/>
      <c r="J256" s="13"/>
      <c r="K256" s="15" t="str">
        <f aca="false">IF(A256="","",COUNTIF(Quotes!$C$2:$C$301,A256))</f>
        <v/>
      </c>
      <c r="L256" s="15" t="str">
        <f aca="false">IF(A256="","",K256&gt;0)</f>
        <v/>
      </c>
      <c r="M256" s="15" t="str">
        <f aca="false">IF(A256="","",COUNTIF(Picks!$C$2:$C$301,A256))</f>
        <v/>
      </c>
      <c r="N256" s="17" t="str">
        <f aca="false">IF(A256="","",IF(M256=0,"no wins",K256/M256))</f>
        <v/>
      </c>
      <c r="O256" s="15" t="str">
        <f aca="false">IF(A256="","",COUNTIFS(Picks!$C$2:$C$301,A256,Picks!$H$2:$H$301,"Y"))</f>
        <v/>
      </c>
      <c r="P256" s="8"/>
      <c r="Q256" s="8"/>
    </row>
    <row r="257" customFormat="false" ht="15" hidden="false" customHeight="false" outlineLevel="0" collapsed="false">
      <c r="A257" s="13"/>
      <c r="B257" s="13"/>
      <c r="C257" s="13"/>
      <c r="D257" s="13"/>
      <c r="E257" s="13"/>
      <c r="F257" s="13"/>
      <c r="G257" s="13"/>
      <c r="H257" s="14"/>
      <c r="I257" s="13"/>
      <c r="J257" s="13"/>
      <c r="K257" s="15" t="str">
        <f aca="false">IF(A257="","",COUNTIF(Quotes!$C$2:$C$301,A257))</f>
        <v/>
      </c>
      <c r="L257" s="15" t="str">
        <f aca="false">IF(A257="","",K257&gt;0)</f>
        <v/>
      </c>
      <c r="M257" s="15" t="str">
        <f aca="false">IF(A257="","",COUNTIF(Picks!$C$2:$C$301,A257))</f>
        <v/>
      </c>
      <c r="N257" s="17" t="str">
        <f aca="false">IF(A257="","",IF(M257=0,"no wins",K257/M257))</f>
        <v/>
      </c>
      <c r="O257" s="15" t="str">
        <f aca="false">IF(A257="","",COUNTIFS(Picks!$C$2:$C$301,A257,Picks!$H$2:$H$301,"Y"))</f>
        <v/>
      </c>
      <c r="P257" s="8"/>
      <c r="Q257" s="8"/>
    </row>
    <row r="258" customFormat="false" ht="15" hidden="false" customHeight="false" outlineLevel="0" collapsed="false">
      <c r="A258" s="13"/>
      <c r="B258" s="13"/>
      <c r="C258" s="13"/>
      <c r="D258" s="13"/>
      <c r="E258" s="13"/>
      <c r="F258" s="13"/>
      <c r="G258" s="13"/>
      <c r="H258" s="14"/>
      <c r="I258" s="13"/>
      <c r="J258" s="13"/>
      <c r="K258" s="15" t="str">
        <f aca="false">IF(A258="","",COUNTIF(Quotes!$C$2:$C$301,A258))</f>
        <v/>
      </c>
      <c r="L258" s="15" t="str">
        <f aca="false">IF(A258="","",K258&gt;0)</f>
        <v/>
      </c>
      <c r="M258" s="15" t="str">
        <f aca="false">IF(A258="","",COUNTIF(Picks!$C$2:$C$301,A258))</f>
        <v/>
      </c>
      <c r="N258" s="17" t="str">
        <f aca="false">IF(A258="","",IF(M258=0,"no wins",K258/M258))</f>
        <v/>
      </c>
      <c r="O258" s="15" t="str">
        <f aca="false">IF(A258="","",COUNTIFS(Picks!$C$2:$C$301,A258,Picks!$H$2:$H$301,"Y"))</f>
        <v/>
      </c>
      <c r="P258" s="8"/>
      <c r="Q258" s="8"/>
    </row>
    <row r="259" customFormat="false" ht="15" hidden="false" customHeight="false" outlineLevel="0" collapsed="false">
      <c r="A259" s="13"/>
      <c r="B259" s="13"/>
      <c r="C259" s="13"/>
      <c r="D259" s="13"/>
      <c r="E259" s="13"/>
      <c r="F259" s="13"/>
      <c r="G259" s="13"/>
      <c r="H259" s="14"/>
      <c r="I259" s="13"/>
      <c r="J259" s="13"/>
      <c r="K259" s="15" t="str">
        <f aca="false">IF(A259="","",COUNTIF(Quotes!$C$2:$C$301,A259))</f>
        <v/>
      </c>
      <c r="L259" s="15" t="str">
        <f aca="false">IF(A259="","",K259&gt;0)</f>
        <v/>
      </c>
      <c r="M259" s="15" t="str">
        <f aca="false">IF(A259="","",COUNTIF(Picks!$C$2:$C$301,A259))</f>
        <v/>
      </c>
      <c r="N259" s="17" t="str">
        <f aca="false">IF(A259="","",IF(M259=0,"no wins",K259/M259))</f>
        <v/>
      </c>
      <c r="O259" s="15" t="str">
        <f aca="false">IF(A259="","",COUNTIFS(Picks!$C$2:$C$301,A259,Picks!$H$2:$H$301,"Y"))</f>
        <v/>
      </c>
      <c r="P259" s="8"/>
      <c r="Q259" s="8"/>
    </row>
    <row r="260" customFormat="false" ht="15" hidden="false" customHeight="false" outlineLevel="0" collapsed="false">
      <c r="A260" s="13"/>
      <c r="B260" s="13"/>
      <c r="C260" s="13"/>
      <c r="D260" s="13"/>
      <c r="E260" s="13"/>
      <c r="F260" s="13"/>
      <c r="G260" s="13"/>
      <c r="H260" s="14"/>
      <c r="I260" s="13"/>
      <c r="J260" s="13"/>
      <c r="K260" s="15" t="str">
        <f aca="false">IF(A260="","",COUNTIF(Quotes!$C$2:$C$301,A260))</f>
        <v/>
      </c>
      <c r="L260" s="15" t="str">
        <f aca="false">IF(A260="","",K260&gt;0)</f>
        <v/>
      </c>
      <c r="M260" s="15" t="str">
        <f aca="false">IF(A260="","",COUNTIF(Picks!$C$2:$C$301,A260))</f>
        <v/>
      </c>
      <c r="N260" s="17" t="str">
        <f aca="false">IF(A260="","",IF(M260=0,"no wins",K260/M260))</f>
        <v/>
      </c>
      <c r="O260" s="15" t="str">
        <f aca="false">IF(A260="","",COUNTIFS(Picks!$C$2:$C$301,A260,Picks!$H$2:$H$301,"Y"))</f>
        <v/>
      </c>
      <c r="P260" s="8"/>
      <c r="Q260" s="8"/>
    </row>
    <row r="261" customFormat="false" ht="15" hidden="false" customHeight="false" outlineLevel="0" collapsed="false">
      <c r="A261" s="13"/>
      <c r="B261" s="13"/>
      <c r="C261" s="13"/>
      <c r="D261" s="13"/>
      <c r="E261" s="13"/>
      <c r="F261" s="13"/>
      <c r="G261" s="13"/>
      <c r="H261" s="14"/>
      <c r="I261" s="13"/>
      <c r="J261" s="13"/>
      <c r="K261" s="15" t="str">
        <f aca="false">IF(A261="","",COUNTIF(Quotes!$C$2:$C$301,A261))</f>
        <v/>
      </c>
      <c r="L261" s="15" t="str">
        <f aca="false">IF(A261="","",K261&gt;0)</f>
        <v/>
      </c>
      <c r="M261" s="15" t="str">
        <f aca="false">IF(A261="","",COUNTIF(Picks!$C$2:$C$301,A261))</f>
        <v/>
      </c>
      <c r="N261" s="17" t="str">
        <f aca="false">IF(A261="","",IF(M261=0,"no wins",K261/M261))</f>
        <v/>
      </c>
      <c r="O261" s="15" t="str">
        <f aca="false">IF(A261="","",COUNTIFS(Picks!$C$2:$C$301,A261,Picks!$H$2:$H$301,"Y"))</f>
        <v/>
      </c>
      <c r="P261" s="8"/>
      <c r="Q261" s="8"/>
    </row>
    <row r="262" customFormat="false" ht="15" hidden="false" customHeight="false" outlineLevel="0" collapsed="false">
      <c r="A262" s="13"/>
      <c r="B262" s="13"/>
      <c r="C262" s="13"/>
      <c r="D262" s="13"/>
      <c r="E262" s="13"/>
      <c r="F262" s="13"/>
      <c r="G262" s="13"/>
      <c r="H262" s="14"/>
      <c r="I262" s="13"/>
      <c r="J262" s="13"/>
      <c r="K262" s="15" t="str">
        <f aca="false">IF(A262="","",COUNTIF(Quotes!$C$2:$C$301,A262))</f>
        <v/>
      </c>
      <c r="L262" s="15" t="str">
        <f aca="false">IF(A262="","",K262&gt;0)</f>
        <v/>
      </c>
      <c r="M262" s="15" t="str">
        <f aca="false">IF(A262="","",COUNTIF(Picks!$C$2:$C$301,A262))</f>
        <v/>
      </c>
      <c r="N262" s="17" t="str">
        <f aca="false">IF(A262="","",IF(M262=0,"no wins",K262/M262))</f>
        <v/>
      </c>
      <c r="O262" s="15" t="str">
        <f aca="false">IF(A262="","",COUNTIFS(Picks!$C$2:$C$301,A262,Picks!$H$2:$H$301,"Y"))</f>
        <v/>
      </c>
      <c r="P262" s="8"/>
      <c r="Q262" s="8"/>
    </row>
    <row r="263" customFormat="false" ht="15" hidden="false" customHeight="false" outlineLevel="0" collapsed="false">
      <c r="A263" s="13"/>
      <c r="B263" s="13"/>
      <c r="C263" s="13"/>
      <c r="D263" s="13"/>
      <c r="E263" s="13"/>
      <c r="F263" s="13"/>
      <c r="G263" s="13"/>
      <c r="H263" s="14"/>
      <c r="I263" s="13"/>
      <c r="J263" s="13"/>
      <c r="K263" s="15" t="str">
        <f aca="false">IF(A263="","",COUNTIF(Quotes!$C$2:$C$301,A263))</f>
        <v/>
      </c>
      <c r="L263" s="15" t="str">
        <f aca="false">IF(A263="","",K263&gt;0)</f>
        <v/>
      </c>
      <c r="M263" s="15" t="str">
        <f aca="false">IF(A263="","",COUNTIF(Picks!$C$2:$C$301,A263))</f>
        <v/>
      </c>
      <c r="N263" s="17" t="str">
        <f aca="false">IF(A263="","",IF(M263=0,"no wins",K263/M263))</f>
        <v/>
      </c>
      <c r="O263" s="15" t="str">
        <f aca="false">IF(A263="","",COUNTIFS(Picks!$C$2:$C$301,A263,Picks!$H$2:$H$301,"Y"))</f>
        <v/>
      </c>
      <c r="P263" s="8"/>
      <c r="Q263" s="8"/>
    </row>
    <row r="264" customFormat="false" ht="15" hidden="false" customHeight="false" outlineLevel="0" collapsed="false">
      <c r="A264" s="13"/>
      <c r="B264" s="13"/>
      <c r="C264" s="13"/>
      <c r="D264" s="13"/>
      <c r="E264" s="13"/>
      <c r="F264" s="13"/>
      <c r="G264" s="13"/>
      <c r="H264" s="14"/>
      <c r="I264" s="13"/>
      <c r="J264" s="13"/>
      <c r="K264" s="15" t="str">
        <f aca="false">IF(A264="","",COUNTIF(Quotes!$C$2:$C$301,A264))</f>
        <v/>
      </c>
      <c r="L264" s="15" t="str">
        <f aca="false">IF(A264="","",K264&gt;0)</f>
        <v/>
      </c>
      <c r="M264" s="15" t="str">
        <f aca="false">IF(A264="","",COUNTIF(Picks!$C$2:$C$301,A264))</f>
        <v/>
      </c>
      <c r="N264" s="17" t="str">
        <f aca="false">IF(A264="","",IF(M264=0,"no wins",K264/M264))</f>
        <v/>
      </c>
      <c r="O264" s="15" t="str">
        <f aca="false">IF(A264="","",COUNTIFS(Picks!$C$2:$C$301,A264,Picks!$H$2:$H$301,"Y"))</f>
        <v/>
      </c>
      <c r="P264" s="8"/>
      <c r="Q264" s="8"/>
    </row>
    <row r="265" customFormat="false" ht="15" hidden="false" customHeight="false" outlineLevel="0" collapsed="false">
      <c r="A265" s="13"/>
      <c r="B265" s="13"/>
      <c r="C265" s="13"/>
      <c r="D265" s="13"/>
      <c r="E265" s="13"/>
      <c r="F265" s="13"/>
      <c r="G265" s="13"/>
      <c r="H265" s="14"/>
      <c r="I265" s="13"/>
      <c r="J265" s="13"/>
      <c r="K265" s="15" t="str">
        <f aca="false">IF(A265="","",COUNTIF(Quotes!$C$2:$C$301,A265))</f>
        <v/>
      </c>
      <c r="L265" s="15" t="str">
        <f aca="false">IF(A265="","",K265&gt;0)</f>
        <v/>
      </c>
      <c r="M265" s="15" t="str">
        <f aca="false">IF(A265="","",COUNTIF(Picks!$C$2:$C$301,A265))</f>
        <v/>
      </c>
      <c r="N265" s="17" t="str">
        <f aca="false">IF(A265="","",IF(M265=0,"no wins",K265/M265))</f>
        <v/>
      </c>
      <c r="O265" s="15" t="str">
        <f aca="false">IF(A265="","",COUNTIFS(Picks!$C$2:$C$301,A265,Picks!$H$2:$H$301,"Y"))</f>
        <v/>
      </c>
      <c r="P265" s="8"/>
      <c r="Q265" s="8"/>
    </row>
    <row r="266" customFormat="false" ht="15" hidden="false" customHeight="false" outlineLevel="0" collapsed="false">
      <c r="A266" s="13"/>
      <c r="B266" s="13"/>
      <c r="C266" s="13"/>
      <c r="D266" s="13"/>
      <c r="E266" s="13"/>
      <c r="F266" s="13"/>
      <c r="G266" s="13"/>
      <c r="H266" s="14"/>
      <c r="I266" s="13"/>
      <c r="J266" s="13"/>
      <c r="K266" s="15" t="str">
        <f aca="false">IF(A266="","",COUNTIF(Quotes!$C$2:$C$301,A266))</f>
        <v/>
      </c>
      <c r="L266" s="15" t="str">
        <f aca="false">IF(A266="","",K266&gt;0)</f>
        <v/>
      </c>
      <c r="M266" s="15" t="str">
        <f aca="false">IF(A266="","",COUNTIF(Picks!$C$2:$C$301,A266))</f>
        <v/>
      </c>
      <c r="N266" s="17" t="str">
        <f aca="false">IF(A266="","",IF(M266=0,"no wins",K266/M266))</f>
        <v/>
      </c>
      <c r="O266" s="15" t="str">
        <f aca="false">IF(A266="","",COUNTIFS(Picks!$C$2:$C$301,A266,Picks!$H$2:$H$301,"Y"))</f>
        <v/>
      </c>
      <c r="P266" s="8"/>
      <c r="Q266" s="8"/>
    </row>
    <row r="267" customFormat="false" ht="15" hidden="false" customHeight="false" outlineLevel="0" collapsed="false">
      <c r="A267" s="13"/>
      <c r="B267" s="13"/>
      <c r="C267" s="13"/>
      <c r="D267" s="13"/>
      <c r="E267" s="13"/>
      <c r="F267" s="13"/>
      <c r="G267" s="13"/>
      <c r="H267" s="14"/>
      <c r="I267" s="13"/>
      <c r="J267" s="13"/>
      <c r="K267" s="15" t="str">
        <f aca="false">IF(A267="","",COUNTIF(Quotes!$C$2:$C$301,A267))</f>
        <v/>
      </c>
      <c r="L267" s="15" t="str">
        <f aca="false">IF(A267="","",K267&gt;0)</f>
        <v/>
      </c>
      <c r="M267" s="15" t="str">
        <f aca="false">IF(A267="","",COUNTIF(Picks!$C$2:$C$301,A267))</f>
        <v/>
      </c>
      <c r="N267" s="17" t="str">
        <f aca="false">IF(A267="","",IF(M267=0,"no wins",K267/M267))</f>
        <v/>
      </c>
      <c r="O267" s="15" t="str">
        <f aca="false">IF(A267="","",COUNTIFS(Picks!$C$2:$C$301,A267,Picks!$H$2:$H$301,"Y"))</f>
        <v/>
      </c>
      <c r="P267" s="8"/>
      <c r="Q267" s="8"/>
    </row>
    <row r="268" customFormat="false" ht="15" hidden="false" customHeight="false" outlineLevel="0" collapsed="false">
      <c r="A268" s="13"/>
      <c r="B268" s="13"/>
      <c r="C268" s="13"/>
      <c r="D268" s="13"/>
      <c r="E268" s="13"/>
      <c r="F268" s="13"/>
      <c r="G268" s="13"/>
      <c r="H268" s="14"/>
      <c r="I268" s="13"/>
      <c r="J268" s="13"/>
      <c r="K268" s="15" t="str">
        <f aca="false">IF(A268="","",COUNTIF(Quotes!$C$2:$C$301,A268))</f>
        <v/>
      </c>
      <c r="L268" s="15" t="str">
        <f aca="false">IF(A268="","",K268&gt;0)</f>
        <v/>
      </c>
      <c r="M268" s="15" t="str">
        <f aca="false">IF(A268="","",COUNTIF(Picks!$C$2:$C$301,A268))</f>
        <v/>
      </c>
      <c r="N268" s="17" t="str">
        <f aca="false">IF(A268="","",IF(M268=0,"no wins",K268/M268))</f>
        <v/>
      </c>
      <c r="O268" s="15" t="str">
        <f aca="false">IF(A268="","",COUNTIFS(Picks!$C$2:$C$301,A268,Picks!$H$2:$H$301,"Y"))</f>
        <v/>
      </c>
      <c r="P268" s="8"/>
      <c r="Q268" s="8"/>
    </row>
    <row r="269" customFormat="false" ht="15" hidden="false" customHeight="false" outlineLevel="0" collapsed="false">
      <c r="A269" s="13"/>
      <c r="B269" s="13"/>
      <c r="C269" s="13"/>
      <c r="D269" s="13"/>
      <c r="E269" s="13"/>
      <c r="F269" s="13"/>
      <c r="G269" s="13"/>
      <c r="H269" s="14"/>
      <c r="I269" s="13"/>
      <c r="J269" s="13"/>
      <c r="K269" s="15" t="str">
        <f aca="false">IF(A269="","",COUNTIF(Quotes!$C$2:$C$301,A269))</f>
        <v/>
      </c>
      <c r="L269" s="15" t="str">
        <f aca="false">IF(A269="","",K269&gt;0)</f>
        <v/>
      </c>
      <c r="M269" s="15" t="str">
        <f aca="false">IF(A269="","",COUNTIF(Picks!$C$2:$C$301,A269))</f>
        <v/>
      </c>
      <c r="N269" s="17" t="str">
        <f aca="false">IF(A269="","",IF(M269=0,"no wins",K269/M269))</f>
        <v/>
      </c>
      <c r="O269" s="15" t="str">
        <f aca="false">IF(A269="","",COUNTIFS(Picks!$C$2:$C$301,A269,Picks!$H$2:$H$301,"Y"))</f>
        <v/>
      </c>
      <c r="P269" s="8"/>
      <c r="Q269" s="8"/>
    </row>
    <row r="270" customFormat="false" ht="15" hidden="false" customHeight="false" outlineLevel="0" collapsed="false">
      <c r="A270" s="13"/>
      <c r="B270" s="13"/>
      <c r="C270" s="13"/>
      <c r="D270" s="13"/>
      <c r="E270" s="13"/>
      <c r="F270" s="13"/>
      <c r="G270" s="13"/>
      <c r="H270" s="14"/>
      <c r="I270" s="13"/>
      <c r="J270" s="13"/>
      <c r="K270" s="15" t="str">
        <f aca="false">IF(A270="","",COUNTIF(Quotes!$C$2:$C$301,A270))</f>
        <v/>
      </c>
      <c r="L270" s="15" t="str">
        <f aca="false">IF(A270="","",K270&gt;0)</f>
        <v/>
      </c>
      <c r="M270" s="15" t="str">
        <f aca="false">IF(A270="","",COUNTIF(Picks!$C$2:$C$301,A270))</f>
        <v/>
      </c>
      <c r="N270" s="17" t="str">
        <f aca="false">IF(A270="","",IF(M270=0,"no wins",K270/M270))</f>
        <v/>
      </c>
      <c r="O270" s="15" t="str">
        <f aca="false">IF(A270="","",COUNTIFS(Picks!$C$2:$C$301,A270,Picks!$H$2:$H$301,"Y"))</f>
        <v/>
      </c>
      <c r="P270" s="8"/>
      <c r="Q270" s="8"/>
    </row>
    <row r="271" customFormat="false" ht="15" hidden="false" customHeight="false" outlineLevel="0" collapsed="false">
      <c r="A271" s="13"/>
      <c r="B271" s="13"/>
      <c r="C271" s="13"/>
      <c r="D271" s="13"/>
      <c r="E271" s="13"/>
      <c r="F271" s="13"/>
      <c r="G271" s="13"/>
      <c r="H271" s="14"/>
      <c r="I271" s="13"/>
      <c r="J271" s="13"/>
      <c r="K271" s="15" t="str">
        <f aca="false">IF(A271="","",COUNTIF(Quotes!$C$2:$C$301,A271))</f>
        <v/>
      </c>
      <c r="L271" s="15" t="str">
        <f aca="false">IF(A271="","",K271&gt;0)</f>
        <v/>
      </c>
      <c r="M271" s="15" t="str">
        <f aca="false">IF(A271="","",COUNTIF(Picks!$C$2:$C$301,A271))</f>
        <v/>
      </c>
      <c r="N271" s="17" t="str">
        <f aca="false">IF(A271="","",IF(M271=0,"no wins",K271/M271))</f>
        <v/>
      </c>
      <c r="O271" s="15" t="str">
        <f aca="false">IF(A271="","",COUNTIFS(Picks!$C$2:$C$301,A271,Picks!$H$2:$H$301,"Y"))</f>
        <v/>
      </c>
      <c r="P271" s="8"/>
      <c r="Q271" s="8"/>
    </row>
    <row r="272" customFormat="false" ht="15" hidden="false" customHeight="false" outlineLevel="0" collapsed="false">
      <c r="A272" s="13"/>
      <c r="B272" s="13"/>
      <c r="C272" s="13"/>
      <c r="D272" s="13"/>
      <c r="E272" s="13"/>
      <c r="F272" s="13"/>
      <c r="G272" s="13"/>
      <c r="H272" s="14"/>
      <c r="I272" s="13"/>
      <c r="J272" s="13"/>
      <c r="K272" s="15" t="str">
        <f aca="false">IF(A272="","",COUNTIF(Quotes!$C$2:$C$301,A272))</f>
        <v/>
      </c>
      <c r="L272" s="15" t="str">
        <f aca="false">IF(A272="","",K272&gt;0)</f>
        <v/>
      </c>
      <c r="M272" s="15" t="str">
        <f aca="false">IF(A272="","",COUNTIF(Picks!$C$2:$C$301,A272))</f>
        <v/>
      </c>
      <c r="N272" s="17" t="str">
        <f aca="false">IF(A272="","",IF(M272=0,"no wins",K272/M272))</f>
        <v/>
      </c>
      <c r="O272" s="15" t="str">
        <f aca="false">IF(A272="","",COUNTIFS(Picks!$C$2:$C$301,A272,Picks!$H$2:$H$301,"Y"))</f>
        <v/>
      </c>
      <c r="P272" s="8"/>
      <c r="Q272" s="8"/>
    </row>
    <row r="273" customFormat="false" ht="15" hidden="false" customHeight="false" outlineLevel="0" collapsed="false">
      <c r="A273" s="13"/>
      <c r="B273" s="13"/>
      <c r="C273" s="13"/>
      <c r="D273" s="13"/>
      <c r="E273" s="13"/>
      <c r="F273" s="13"/>
      <c r="G273" s="13"/>
      <c r="H273" s="14"/>
      <c r="I273" s="13"/>
      <c r="J273" s="13"/>
      <c r="K273" s="15" t="str">
        <f aca="false">IF(A273="","",COUNTIF(Quotes!$C$2:$C$301,A273))</f>
        <v/>
      </c>
      <c r="L273" s="15" t="str">
        <f aca="false">IF(A273="","",K273&gt;0)</f>
        <v/>
      </c>
      <c r="M273" s="15" t="str">
        <f aca="false">IF(A273="","",COUNTIF(Picks!$C$2:$C$301,A273))</f>
        <v/>
      </c>
      <c r="N273" s="17" t="str">
        <f aca="false">IF(A273="","",IF(M273=0,"no wins",K273/M273))</f>
        <v/>
      </c>
      <c r="O273" s="15" t="str">
        <f aca="false">IF(A273="","",COUNTIFS(Picks!$C$2:$C$301,A273,Picks!$H$2:$H$301,"Y"))</f>
        <v/>
      </c>
      <c r="P273" s="8"/>
      <c r="Q273" s="8"/>
    </row>
    <row r="274" customFormat="false" ht="15" hidden="false" customHeight="false" outlineLevel="0" collapsed="false">
      <c r="A274" s="13"/>
      <c r="B274" s="13"/>
      <c r="C274" s="13"/>
      <c r="D274" s="13"/>
      <c r="E274" s="13"/>
      <c r="F274" s="13"/>
      <c r="G274" s="13"/>
      <c r="H274" s="14"/>
      <c r="I274" s="13"/>
      <c r="J274" s="13"/>
      <c r="K274" s="15" t="str">
        <f aca="false">IF(A274="","",COUNTIF(Quotes!$C$2:$C$301,A274))</f>
        <v/>
      </c>
      <c r="L274" s="15" t="str">
        <f aca="false">IF(A274="","",K274&gt;0)</f>
        <v/>
      </c>
      <c r="M274" s="15" t="str">
        <f aca="false">IF(A274="","",COUNTIF(Picks!$C$2:$C$301,A274))</f>
        <v/>
      </c>
      <c r="N274" s="17" t="str">
        <f aca="false">IF(A274="","",IF(M274=0,"no wins",K274/M274))</f>
        <v/>
      </c>
      <c r="O274" s="15" t="str">
        <f aca="false">IF(A274="","",COUNTIFS(Picks!$C$2:$C$301,A274,Picks!$H$2:$H$301,"Y"))</f>
        <v/>
      </c>
      <c r="P274" s="8"/>
      <c r="Q274" s="8"/>
    </row>
    <row r="275" customFormat="false" ht="15" hidden="false" customHeight="false" outlineLevel="0" collapsed="false">
      <c r="A275" s="13"/>
      <c r="B275" s="13"/>
      <c r="C275" s="13"/>
      <c r="D275" s="13"/>
      <c r="E275" s="13"/>
      <c r="F275" s="13"/>
      <c r="G275" s="13"/>
      <c r="H275" s="14"/>
      <c r="I275" s="13"/>
      <c r="J275" s="13"/>
      <c r="K275" s="15" t="str">
        <f aca="false">IF(A275="","",COUNTIF(Quotes!$C$2:$C$301,A275))</f>
        <v/>
      </c>
      <c r="L275" s="15" t="str">
        <f aca="false">IF(A275="","",K275&gt;0)</f>
        <v/>
      </c>
      <c r="M275" s="15" t="str">
        <f aca="false">IF(A275="","",COUNTIF(Picks!$C$2:$C$301,A275))</f>
        <v/>
      </c>
      <c r="N275" s="17" t="str">
        <f aca="false">IF(A275="","",IF(M275=0,"no wins",K275/M275))</f>
        <v/>
      </c>
      <c r="O275" s="15" t="str">
        <f aca="false">IF(A275="","",COUNTIFS(Picks!$C$2:$C$301,A275,Picks!$H$2:$H$301,"Y"))</f>
        <v/>
      </c>
      <c r="P275" s="8"/>
      <c r="Q275" s="8"/>
    </row>
    <row r="276" customFormat="false" ht="15" hidden="false" customHeight="false" outlineLevel="0" collapsed="false">
      <c r="A276" s="13"/>
      <c r="B276" s="13"/>
      <c r="C276" s="13"/>
      <c r="D276" s="13"/>
      <c r="E276" s="13"/>
      <c r="F276" s="13"/>
      <c r="G276" s="13"/>
      <c r="H276" s="14"/>
      <c r="I276" s="13"/>
      <c r="J276" s="13"/>
      <c r="K276" s="15" t="str">
        <f aca="false">IF(A276="","",COUNTIF(Quotes!$C$2:$C$301,A276))</f>
        <v/>
      </c>
      <c r="L276" s="15" t="str">
        <f aca="false">IF(A276="","",K276&gt;0)</f>
        <v/>
      </c>
      <c r="M276" s="15" t="str">
        <f aca="false">IF(A276="","",COUNTIF(Picks!$C$2:$C$301,A276))</f>
        <v/>
      </c>
      <c r="N276" s="17" t="str">
        <f aca="false">IF(A276="","",IF(M276=0,"no wins",K276/M276))</f>
        <v/>
      </c>
      <c r="O276" s="15" t="str">
        <f aca="false">IF(A276="","",COUNTIFS(Picks!$C$2:$C$301,A276,Picks!$H$2:$H$301,"Y"))</f>
        <v/>
      </c>
      <c r="P276" s="8"/>
      <c r="Q276" s="8"/>
    </row>
    <row r="277" customFormat="false" ht="15" hidden="false" customHeight="false" outlineLevel="0" collapsed="false">
      <c r="A277" s="13"/>
      <c r="B277" s="13"/>
      <c r="C277" s="13"/>
      <c r="D277" s="13"/>
      <c r="E277" s="13"/>
      <c r="F277" s="13"/>
      <c r="G277" s="13"/>
      <c r="H277" s="14"/>
      <c r="I277" s="13"/>
      <c r="J277" s="13"/>
      <c r="K277" s="15" t="str">
        <f aca="false">IF(A277="","",COUNTIF(Quotes!$C$2:$C$301,A277))</f>
        <v/>
      </c>
      <c r="L277" s="15" t="str">
        <f aca="false">IF(A277="","",K277&gt;0)</f>
        <v/>
      </c>
      <c r="M277" s="15" t="str">
        <f aca="false">IF(A277="","",COUNTIF(Picks!$C$2:$C$301,A277))</f>
        <v/>
      </c>
      <c r="N277" s="17" t="str">
        <f aca="false">IF(A277="","",IF(M277=0,"no wins",K277/M277))</f>
        <v/>
      </c>
      <c r="O277" s="15" t="str">
        <f aca="false">IF(A277="","",COUNTIFS(Picks!$C$2:$C$301,A277,Picks!$H$2:$H$301,"Y"))</f>
        <v/>
      </c>
      <c r="P277" s="8"/>
      <c r="Q277" s="8"/>
    </row>
    <row r="278" customFormat="false" ht="15" hidden="false" customHeight="false" outlineLevel="0" collapsed="false">
      <c r="A278" s="13"/>
      <c r="B278" s="13"/>
      <c r="C278" s="13"/>
      <c r="D278" s="13"/>
      <c r="E278" s="13"/>
      <c r="F278" s="13"/>
      <c r="G278" s="13"/>
      <c r="H278" s="14"/>
      <c r="I278" s="13"/>
      <c r="J278" s="13"/>
      <c r="K278" s="15" t="str">
        <f aca="false">IF(A278="","",COUNTIF(Quotes!$C$2:$C$301,A278))</f>
        <v/>
      </c>
      <c r="L278" s="15" t="str">
        <f aca="false">IF(A278="","",K278&gt;0)</f>
        <v/>
      </c>
      <c r="M278" s="15" t="str">
        <f aca="false">IF(A278="","",COUNTIF(Picks!$C$2:$C$301,A278))</f>
        <v/>
      </c>
      <c r="N278" s="17" t="str">
        <f aca="false">IF(A278="","",IF(M278=0,"no wins",K278/M278))</f>
        <v/>
      </c>
      <c r="O278" s="15" t="str">
        <f aca="false">IF(A278="","",COUNTIFS(Picks!$C$2:$C$301,A278,Picks!$H$2:$H$301,"Y"))</f>
        <v/>
      </c>
      <c r="P278" s="8"/>
      <c r="Q278" s="8"/>
    </row>
    <row r="279" customFormat="false" ht="15" hidden="false" customHeight="false" outlineLevel="0" collapsed="false">
      <c r="A279" s="13"/>
      <c r="B279" s="13"/>
      <c r="C279" s="13"/>
      <c r="D279" s="13"/>
      <c r="E279" s="13"/>
      <c r="F279" s="13"/>
      <c r="G279" s="13"/>
      <c r="H279" s="14"/>
      <c r="I279" s="13"/>
      <c r="J279" s="13"/>
      <c r="K279" s="15" t="str">
        <f aca="false">IF(A279="","",COUNTIF(Quotes!$C$2:$C$301,A279))</f>
        <v/>
      </c>
      <c r="L279" s="15" t="str">
        <f aca="false">IF(A279="","",K279&gt;0)</f>
        <v/>
      </c>
      <c r="M279" s="15" t="str">
        <f aca="false">IF(A279="","",COUNTIF(Picks!$C$2:$C$301,A279))</f>
        <v/>
      </c>
      <c r="N279" s="17" t="str">
        <f aca="false">IF(A279="","",IF(M279=0,"no wins",K279/M279))</f>
        <v/>
      </c>
      <c r="O279" s="15" t="str">
        <f aca="false">IF(A279="","",COUNTIFS(Picks!$C$2:$C$301,A279,Picks!$H$2:$H$301,"Y"))</f>
        <v/>
      </c>
      <c r="P279" s="8"/>
      <c r="Q279" s="8"/>
    </row>
    <row r="280" customFormat="false" ht="15" hidden="false" customHeight="false" outlineLevel="0" collapsed="false">
      <c r="A280" s="13"/>
      <c r="B280" s="13"/>
      <c r="C280" s="13"/>
      <c r="D280" s="13"/>
      <c r="E280" s="13"/>
      <c r="F280" s="13"/>
      <c r="G280" s="13"/>
      <c r="H280" s="14"/>
      <c r="I280" s="13"/>
      <c r="J280" s="13"/>
      <c r="K280" s="15" t="str">
        <f aca="false">IF(A280="","",COUNTIF(Quotes!$C$2:$C$301,A280))</f>
        <v/>
      </c>
      <c r="L280" s="15" t="str">
        <f aca="false">IF(A280="","",K280&gt;0)</f>
        <v/>
      </c>
      <c r="M280" s="15" t="str">
        <f aca="false">IF(A280="","",COUNTIF(Picks!$C$2:$C$301,A280))</f>
        <v/>
      </c>
      <c r="N280" s="17" t="str">
        <f aca="false">IF(A280="","",IF(M280=0,"no wins",K280/M280))</f>
        <v/>
      </c>
      <c r="O280" s="15" t="str">
        <f aca="false">IF(A280="","",COUNTIFS(Picks!$C$2:$C$301,A280,Picks!$H$2:$H$301,"Y"))</f>
        <v/>
      </c>
      <c r="P280" s="8"/>
      <c r="Q280" s="8"/>
    </row>
    <row r="281" customFormat="false" ht="15" hidden="false" customHeight="false" outlineLevel="0" collapsed="false">
      <c r="A281" s="13"/>
      <c r="B281" s="13"/>
      <c r="C281" s="13"/>
      <c r="D281" s="13"/>
      <c r="E281" s="13"/>
      <c r="F281" s="13"/>
      <c r="G281" s="13"/>
      <c r="H281" s="14"/>
      <c r="I281" s="13"/>
      <c r="J281" s="13"/>
      <c r="K281" s="15" t="str">
        <f aca="false">IF(A281="","",COUNTIF(Quotes!$C$2:$C$301,A281))</f>
        <v/>
      </c>
      <c r="L281" s="15" t="str">
        <f aca="false">IF(A281="","",K281&gt;0)</f>
        <v/>
      </c>
      <c r="M281" s="15" t="str">
        <f aca="false">IF(A281="","",COUNTIF(Picks!$C$2:$C$301,A281))</f>
        <v/>
      </c>
      <c r="N281" s="17" t="str">
        <f aca="false">IF(A281="","",IF(M281=0,"no wins",K281/M281))</f>
        <v/>
      </c>
      <c r="O281" s="15" t="str">
        <f aca="false">IF(A281="","",COUNTIFS(Picks!$C$2:$C$301,A281,Picks!$H$2:$H$301,"Y"))</f>
        <v/>
      </c>
      <c r="P281" s="8"/>
      <c r="Q281" s="8"/>
    </row>
    <row r="282" customFormat="false" ht="15" hidden="false" customHeight="false" outlineLevel="0" collapsed="false">
      <c r="A282" s="13"/>
      <c r="B282" s="13"/>
      <c r="C282" s="13"/>
      <c r="D282" s="13"/>
      <c r="E282" s="13"/>
      <c r="F282" s="13"/>
      <c r="G282" s="13"/>
      <c r="H282" s="14"/>
      <c r="I282" s="13"/>
      <c r="J282" s="13"/>
      <c r="K282" s="15" t="str">
        <f aca="false">IF(A282="","",COUNTIF(Quotes!$C$2:$C$301,A282))</f>
        <v/>
      </c>
      <c r="L282" s="15" t="str">
        <f aca="false">IF(A282="","",K282&gt;0)</f>
        <v/>
      </c>
      <c r="M282" s="15" t="str">
        <f aca="false">IF(A282="","",COUNTIF(Picks!$C$2:$C$301,A282))</f>
        <v/>
      </c>
      <c r="N282" s="17" t="str">
        <f aca="false">IF(A282="","",IF(M282=0,"no wins",K282/M282))</f>
        <v/>
      </c>
      <c r="O282" s="15" t="str">
        <f aca="false">IF(A282="","",COUNTIFS(Picks!$C$2:$C$301,A282,Picks!$H$2:$H$301,"Y"))</f>
        <v/>
      </c>
      <c r="P282" s="8"/>
      <c r="Q282" s="8"/>
    </row>
    <row r="283" customFormat="false" ht="15" hidden="false" customHeight="false" outlineLevel="0" collapsed="false">
      <c r="A283" s="13"/>
      <c r="B283" s="13"/>
      <c r="C283" s="13"/>
      <c r="D283" s="13"/>
      <c r="E283" s="13"/>
      <c r="F283" s="13"/>
      <c r="G283" s="13"/>
      <c r="H283" s="14"/>
      <c r="I283" s="13"/>
      <c r="J283" s="13"/>
      <c r="K283" s="15" t="str">
        <f aca="false">IF(A283="","",COUNTIF(Quotes!$C$2:$C$301,A283))</f>
        <v/>
      </c>
      <c r="L283" s="15" t="str">
        <f aca="false">IF(A283="","",K283&gt;0)</f>
        <v/>
      </c>
      <c r="M283" s="15" t="str">
        <f aca="false">IF(A283="","",COUNTIF(Picks!$C$2:$C$301,A283))</f>
        <v/>
      </c>
      <c r="N283" s="17" t="str">
        <f aca="false">IF(A283="","",IF(M283=0,"no wins",K283/M283))</f>
        <v/>
      </c>
      <c r="O283" s="15" t="str">
        <f aca="false">IF(A283="","",COUNTIFS(Picks!$C$2:$C$301,A283,Picks!$H$2:$H$301,"Y"))</f>
        <v/>
      </c>
      <c r="P283" s="8"/>
      <c r="Q283" s="8"/>
    </row>
    <row r="284" customFormat="false" ht="15" hidden="false" customHeight="false" outlineLevel="0" collapsed="false">
      <c r="A284" s="13"/>
      <c r="B284" s="13"/>
      <c r="C284" s="13"/>
      <c r="D284" s="13"/>
      <c r="E284" s="13"/>
      <c r="F284" s="13"/>
      <c r="G284" s="13"/>
      <c r="H284" s="14"/>
      <c r="I284" s="13"/>
      <c r="J284" s="13"/>
      <c r="K284" s="15" t="str">
        <f aca="false">IF(A284="","",COUNTIF(Quotes!$C$2:$C$301,A284))</f>
        <v/>
      </c>
      <c r="L284" s="15" t="str">
        <f aca="false">IF(A284="","",K284&gt;0)</f>
        <v/>
      </c>
      <c r="M284" s="15" t="str">
        <f aca="false">IF(A284="","",COUNTIF(Picks!$C$2:$C$301,A284))</f>
        <v/>
      </c>
      <c r="N284" s="17" t="str">
        <f aca="false">IF(A284="","",IF(M284=0,"no wins",K284/M284))</f>
        <v/>
      </c>
      <c r="O284" s="15" t="str">
        <f aca="false">IF(A284="","",COUNTIFS(Picks!$C$2:$C$301,A284,Picks!$H$2:$H$301,"Y"))</f>
        <v/>
      </c>
      <c r="P284" s="8"/>
      <c r="Q284" s="8"/>
    </row>
    <row r="285" customFormat="false" ht="15" hidden="false" customHeight="false" outlineLevel="0" collapsed="false">
      <c r="A285" s="13"/>
      <c r="B285" s="13"/>
      <c r="C285" s="13"/>
      <c r="D285" s="13"/>
      <c r="E285" s="13"/>
      <c r="F285" s="13"/>
      <c r="G285" s="13"/>
      <c r="H285" s="14"/>
      <c r="I285" s="13"/>
      <c r="J285" s="13"/>
      <c r="K285" s="15" t="str">
        <f aca="false">IF(A285="","",COUNTIF(Quotes!$C$2:$C$301,A285))</f>
        <v/>
      </c>
      <c r="L285" s="15" t="str">
        <f aca="false">IF(A285="","",K285&gt;0)</f>
        <v/>
      </c>
      <c r="M285" s="15" t="str">
        <f aca="false">IF(A285="","",COUNTIF(Picks!$C$2:$C$301,A285))</f>
        <v/>
      </c>
      <c r="N285" s="17" t="str">
        <f aca="false">IF(A285="","",IF(M285=0,"no wins",K285/M285))</f>
        <v/>
      </c>
      <c r="O285" s="15" t="str">
        <f aca="false">IF(A285="","",COUNTIFS(Picks!$C$2:$C$301,A285,Picks!$H$2:$H$301,"Y"))</f>
        <v/>
      </c>
      <c r="P285" s="8"/>
      <c r="Q285" s="8"/>
    </row>
    <row r="286" customFormat="false" ht="15" hidden="false" customHeight="false" outlineLevel="0" collapsed="false">
      <c r="A286" s="13"/>
      <c r="B286" s="13"/>
      <c r="C286" s="13"/>
      <c r="D286" s="13"/>
      <c r="E286" s="13"/>
      <c r="F286" s="13"/>
      <c r="G286" s="13"/>
      <c r="H286" s="14"/>
      <c r="I286" s="13"/>
      <c r="J286" s="13"/>
      <c r="K286" s="15" t="str">
        <f aca="false">IF(A286="","",COUNTIF(Quotes!$C$2:$C$301,A286))</f>
        <v/>
      </c>
      <c r="L286" s="15" t="str">
        <f aca="false">IF(A286="","",K286&gt;0)</f>
        <v/>
      </c>
      <c r="M286" s="15" t="str">
        <f aca="false">IF(A286="","",COUNTIF(Picks!$C$2:$C$301,A286))</f>
        <v/>
      </c>
      <c r="N286" s="17" t="str">
        <f aca="false">IF(A286="","",IF(M286=0,"no wins",K286/M286))</f>
        <v/>
      </c>
      <c r="O286" s="15" t="str">
        <f aca="false">IF(A286="","",COUNTIFS(Picks!$C$2:$C$301,A286,Picks!$H$2:$H$301,"Y"))</f>
        <v/>
      </c>
      <c r="P286" s="8"/>
      <c r="Q286" s="8"/>
    </row>
    <row r="287" customFormat="false" ht="15" hidden="false" customHeight="false" outlineLevel="0" collapsed="false">
      <c r="A287" s="13"/>
      <c r="B287" s="13"/>
      <c r="C287" s="13"/>
      <c r="D287" s="13"/>
      <c r="E287" s="13"/>
      <c r="F287" s="13"/>
      <c r="G287" s="13"/>
      <c r="H287" s="14"/>
      <c r="I287" s="13"/>
      <c r="J287" s="13"/>
      <c r="K287" s="15" t="str">
        <f aca="false">IF(A287="","",COUNTIF(Quotes!$C$2:$C$301,A287))</f>
        <v/>
      </c>
      <c r="L287" s="15" t="str">
        <f aca="false">IF(A287="","",K287&gt;0)</f>
        <v/>
      </c>
      <c r="M287" s="15" t="str">
        <f aca="false">IF(A287="","",COUNTIF(Picks!$C$2:$C$301,A287))</f>
        <v/>
      </c>
      <c r="N287" s="17" t="str">
        <f aca="false">IF(A287="","",IF(M287=0,"no wins",K287/M287))</f>
        <v/>
      </c>
      <c r="O287" s="15" t="str">
        <f aca="false">IF(A287="","",COUNTIFS(Picks!$C$2:$C$301,A287,Picks!$H$2:$H$301,"Y"))</f>
        <v/>
      </c>
      <c r="P287" s="8"/>
      <c r="Q287" s="8"/>
    </row>
    <row r="288" customFormat="false" ht="15" hidden="false" customHeight="false" outlineLevel="0" collapsed="false">
      <c r="A288" s="13"/>
      <c r="B288" s="13"/>
      <c r="C288" s="13"/>
      <c r="D288" s="13"/>
      <c r="E288" s="13"/>
      <c r="F288" s="13"/>
      <c r="G288" s="13"/>
      <c r="H288" s="14"/>
      <c r="I288" s="13"/>
      <c r="J288" s="13"/>
      <c r="K288" s="15" t="str">
        <f aca="false">IF(A288="","",COUNTIF(Quotes!$C$2:$C$301,A288))</f>
        <v/>
      </c>
      <c r="L288" s="15" t="str">
        <f aca="false">IF(A288="","",K288&gt;0)</f>
        <v/>
      </c>
      <c r="M288" s="15" t="str">
        <f aca="false">IF(A288="","",COUNTIF(Picks!$C$2:$C$301,A288))</f>
        <v/>
      </c>
      <c r="N288" s="17" t="str">
        <f aca="false">IF(A288="","",IF(M288=0,"no wins",K288/M288))</f>
        <v/>
      </c>
      <c r="O288" s="15" t="str">
        <f aca="false">IF(A288="","",COUNTIFS(Picks!$C$2:$C$301,A288,Picks!$H$2:$H$301,"Y"))</f>
        <v/>
      </c>
      <c r="P288" s="8"/>
      <c r="Q288" s="8"/>
    </row>
    <row r="289" customFormat="false" ht="15" hidden="false" customHeight="false" outlineLevel="0" collapsed="false">
      <c r="A289" s="13"/>
      <c r="B289" s="13"/>
      <c r="C289" s="13"/>
      <c r="D289" s="13"/>
      <c r="E289" s="13"/>
      <c r="F289" s="13"/>
      <c r="G289" s="13"/>
      <c r="H289" s="14"/>
      <c r="I289" s="13"/>
      <c r="J289" s="13"/>
      <c r="K289" s="15" t="str">
        <f aca="false">IF(A289="","",COUNTIF(Quotes!$C$2:$C$301,A289))</f>
        <v/>
      </c>
      <c r="L289" s="15" t="str">
        <f aca="false">IF(A289="","",K289&gt;0)</f>
        <v/>
      </c>
      <c r="M289" s="15" t="str">
        <f aca="false">IF(A289="","",COUNTIF(Picks!$C$2:$C$301,A289))</f>
        <v/>
      </c>
      <c r="N289" s="17" t="str">
        <f aca="false">IF(A289="","",IF(M289=0,"no wins",K289/M289))</f>
        <v/>
      </c>
      <c r="O289" s="15" t="str">
        <f aca="false">IF(A289="","",COUNTIFS(Picks!$C$2:$C$301,A289,Picks!$H$2:$H$301,"Y"))</f>
        <v/>
      </c>
      <c r="P289" s="8"/>
      <c r="Q289" s="8"/>
    </row>
    <row r="290" customFormat="false" ht="15" hidden="false" customHeight="false" outlineLevel="0" collapsed="false">
      <c r="A290" s="13"/>
      <c r="B290" s="13"/>
      <c r="C290" s="13"/>
      <c r="D290" s="13"/>
      <c r="E290" s="13"/>
      <c r="F290" s="13"/>
      <c r="G290" s="13"/>
      <c r="H290" s="14"/>
      <c r="I290" s="13"/>
      <c r="J290" s="13"/>
      <c r="K290" s="15" t="str">
        <f aca="false">IF(A290="","",COUNTIF(Quotes!$C$2:$C$301,A290))</f>
        <v/>
      </c>
      <c r="L290" s="15" t="str">
        <f aca="false">IF(A290="","",K290&gt;0)</f>
        <v/>
      </c>
      <c r="M290" s="15" t="str">
        <f aca="false">IF(A290="","",COUNTIF(Picks!$C$2:$C$301,A290))</f>
        <v/>
      </c>
      <c r="N290" s="17" t="str">
        <f aca="false">IF(A290="","",IF(M290=0,"no wins",K290/M290))</f>
        <v/>
      </c>
      <c r="O290" s="15" t="str">
        <f aca="false">IF(A290="","",COUNTIFS(Picks!$C$2:$C$301,A290,Picks!$H$2:$H$301,"Y"))</f>
        <v/>
      </c>
      <c r="P290" s="8"/>
      <c r="Q290" s="8"/>
    </row>
    <row r="291" customFormat="false" ht="15" hidden="false" customHeight="false" outlineLevel="0" collapsed="false">
      <c r="A291" s="13"/>
      <c r="B291" s="13"/>
      <c r="C291" s="13"/>
      <c r="D291" s="13"/>
      <c r="E291" s="13"/>
      <c r="F291" s="13"/>
      <c r="G291" s="13"/>
      <c r="H291" s="14"/>
      <c r="I291" s="13"/>
      <c r="J291" s="13"/>
      <c r="K291" s="15" t="str">
        <f aca="false">IF(A291="","",COUNTIF(Quotes!$C$2:$C$301,A291))</f>
        <v/>
      </c>
      <c r="L291" s="15" t="str">
        <f aca="false">IF(A291="","",K291&gt;0)</f>
        <v/>
      </c>
      <c r="M291" s="15" t="str">
        <f aca="false">IF(A291="","",COUNTIF(Picks!$C$2:$C$301,A291))</f>
        <v/>
      </c>
      <c r="N291" s="17" t="str">
        <f aca="false">IF(A291="","",IF(M291=0,"no wins",K291/M291))</f>
        <v/>
      </c>
      <c r="O291" s="15" t="str">
        <f aca="false">IF(A291="","",COUNTIFS(Picks!$C$2:$C$301,A291,Picks!$H$2:$H$301,"Y"))</f>
        <v/>
      </c>
      <c r="P291" s="8"/>
      <c r="Q291" s="8"/>
    </row>
    <row r="292" customFormat="false" ht="15" hidden="false" customHeight="false" outlineLevel="0" collapsed="false">
      <c r="A292" s="13"/>
      <c r="B292" s="13"/>
      <c r="C292" s="13"/>
      <c r="D292" s="13"/>
      <c r="E292" s="13"/>
      <c r="F292" s="13"/>
      <c r="G292" s="13"/>
      <c r="H292" s="14"/>
      <c r="I292" s="13"/>
      <c r="J292" s="13"/>
      <c r="K292" s="15" t="str">
        <f aca="false">IF(A292="","",COUNTIF(Quotes!$C$2:$C$301,A292))</f>
        <v/>
      </c>
      <c r="L292" s="15" t="str">
        <f aca="false">IF(A292="","",K292&gt;0)</f>
        <v/>
      </c>
      <c r="M292" s="15" t="str">
        <f aca="false">IF(A292="","",COUNTIF(Picks!$C$2:$C$301,A292))</f>
        <v/>
      </c>
      <c r="N292" s="17" t="str">
        <f aca="false">IF(A292="","",IF(M292=0,"no wins",K292/M292))</f>
        <v/>
      </c>
      <c r="O292" s="15" t="str">
        <f aca="false">IF(A292="","",COUNTIFS(Picks!$C$2:$C$301,A292,Picks!$H$2:$H$301,"Y"))</f>
        <v/>
      </c>
      <c r="P292" s="8"/>
      <c r="Q292" s="8"/>
    </row>
    <row r="293" customFormat="false" ht="15" hidden="false" customHeight="false" outlineLevel="0" collapsed="false">
      <c r="A293" s="13"/>
      <c r="B293" s="13"/>
      <c r="C293" s="13"/>
      <c r="D293" s="13"/>
      <c r="E293" s="13"/>
      <c r="F293" s="13"/>
      <c r="G293" s="13"/>
      <c r="H293" s="14"/>
      <c r="I293" s="13"/>
      <c r="J293" s="13"/>
      <c r="K293" s="15" t="str">
        <f aca="false">IF(A293="","",COUNTIF(Quotes!$C$2:$C$301,A293))</f>
        <v/>
      </c>
      <c r="L293" s="15" t="str">
        <f aca="false">IF(A293="","",K293&gt;0)</f>
        <v/>
      </c>
      <c r="M293" s="15" t="str">
        <f aca="false">IF(A293="","",COUNTIF(Picks!$C$2:$C$301,A293))</f>
        <v/>
      </c>
      <c r="N293" s="17" t="str">
        <f aca="false">IF(A293="","",IF(M293=0,"no wins",K293/M293))</f>
        <v/>
      </c>
      <c r="O293" s="15" t="str">
        <f aca="false">IF(A293="","",COUNTIFS(Picks!$C$2:$C$301,A293,Picks!$H$2:$H$301,"Y"))</f>
        <v/>
      </c>
      <c r="P293" s="8"/>
      <c r="Q293" s="8"/>
    </row>
    <row r="294" customFormat="false" ht="15" hidden="false" customHeight="false" outlineLevel="0" collapsed="false">
      <c r="A294" s="13"/>
      <c r="B294" s="13"/>
      <c r="C294" s="13"/>
      <c r="D294" s="13"/>
      <c r="E294" s="13"/>
      <c r="F294" s="13"/>
      <c r="G294" s="13"/>
      <c r="H294" s="14"/>
      <c r="I294" s="13"/>
      <c r="J294" s="13"/>
      <c r="K294" s="15" t="str">
        <f aca="false">IF(A294="","",COUNTIF(Quotes!$C$2:$C$301,A294))</f>
        <v/>
      </c>
      <c r="L294" s="15" t="str">
        <f aca="false">IF(A294="","",K294&gt;0)</f>
        <v/>
      </c>
      <c r="M294" s="15" t="str">
        <f aca="false">IF(A294="","",COUNTIF(Picks!$C$2:$C$301,A294))</f>
        <v/>
      </c>
      <c r="N294" s="17" t="str">
        <f aca="false">IF(A294="","",IF(M294=0,"no wins",K294/M294))</f>
        <v/>
      </c>
      <c r="O294" s="15" t="str">
        <f aca="false">IF(A294="","",COUNTIFS(Picks!$C$2:$C$301,A294,Picks!$H$2:$H$301,"Y"))</f>
        <v/>
      </c>
      <c r="P294" s="8"/>
      <c r="Q294" s="8"/>
    </row>
    <row r="295" customFormat="false" ht="15" hidden="false" customHeight="false" outlineLevel="0" collapsed="false">
      <c r="A295" s="13"/>
      <c r="B295" s="13"/>
      <c r="C295" s="13"/>
      <c r="D295" s="13"/>
      <c r="E295" s="13"/>
      <c r="F295" s="13"/>
      <c r="G295" s="13"/>
      <c r="H295" s="14"/>
      <c r="I295" s="13"/>
      <c r="J295" s="13"/>
      <c r="K295" s="15" t="str">
        <f aca="false">IF(A295="","",COUNTIF(Quotes!$C$2:$C$301,A295))</f>
        <v/>
      </c>
      <c r="L295" s="15" t="str">
        <f aca="false">IF(A295="","",K295&gt;0)</f>
        <v/>
      </c>
      <c r="M295" s="15" t="str">
        <f aca="false">IF(A295="","",COUNTIF(Picks!$C$2:$C$301,A295))</f>
        <v/>
      </c>
      <c r="N295" s="17" t="str">
        <f aca="false">IF(A295="","",IF(M295=0,"no wins",K295/M295))</f>
        <v/>
      </c>
      <c r="O295" s="15" t="str">
        <f aca="false">IF(A295="","",COUNTIFS(Picks!$C$2:$C$301,A295,Picks!$H$2:$H$301,"Y"))</f>
        <v/>
      </c>
      <c r="P295" s="8"/>
      <c r="Q295" s="8"/>
    </row>
    <row r="296" customFormat="false" ht="15" hidden="false" customHeight="false" outlineLevel="0" collapsed="false">
      <c r="A296" s="13"/>
      <c r="B296" s="13"/>
      <c r="C296" s="13"/>
      <c r="D296" s="13"/>
      <c r="E296" s="13"/>
      <c r="F296" s="13"/>
      <c r="G296" s="13"/>
      <c r="H296" s="14"/>
      <c r="I296" s="13"/>
      <c r="J296" s="13"/>
      <c r="K296" s="15" t="str">
        <f aca="false">IF(A296="","",COUNTIF(Quotes!$C$2:$C$301,A296))</f>
        <v/>
      </c>
      <c r="L296" s="15" t="str">
        <f aca="false">IF(A296="","",K296&gt;0)</f>
        <v/>
      </c>
      <c r="M296" s="15" t="str">
        <f aca="false">IF(A296="","",COUNTIF(Picks!$C$2:$C$301,A296))</f>
        <v/>
      </c>
      <c r="N296" s="17" t="str">
        <f aca="false">IF(A296="","",IF(M296=0,"no wins",K296/M296))</f>
        <v/>
      </c>
      <c r="O296" s="15" t="str">
        <f aca="false">IF(A296="","",COUNTIFS(Picks!$C$2:$C$301,A296,Picks!$H$2:$H$301,"Y"))</f>
        <v/>
      </c>
      <c r="P296" s="8"/>
      <c r="Q296" s="8"/>
    </row>
    <row r="297" customFormat="false" ht="15" hidden="false" customHeight="false" outlineLevel="0" collapsed="false">
      <c r="A297" s="13"/>
      <c r="B297" s="13"/>
      <c r="C297" s="13"/>
      <c r="D297" s="13"/>
      <c r="E297" s="13"/>
      <c r="F297" s="13"/>
      <c r="G297" s="13"/>
      <c r="H297" s="14"/>
      <c r="I297" s="13"/>
      <c r="J297" s="13"/>
      <c r="K297" s="15" t="str">
        <f aca="false">IF(A297="","",COUNTIF(Quotes!$C$2:$C$301,A297))</f>
        <v/>
      </c>
      <c r="L297" s="15" t="str">
        <f aca="false">IF(A297="","",K297&gt;0)</f>
        <v/>
      </c>
      <c r="M297" s="15" t="str">
        <f aca="false">IF(A297="","",COUNTIF(Picks!$C$2:$C$301,A297))</f>
        <v/>
      </c>
      <c r="N297" s="17" t="str">
        <f aca="false">IF(A297="","",IF(M297=0,"no wins",K297/M297))</f>
        <v/>
      </c>
      <c r="O297" s="15" t="str">
        <f aca="false">IF(A297="","",COUNTIFS(Picks!$C$2:$C$301,A297,Picks!$H$2:$H$301,"Y"))</f>
        <v/>
      </c>
      <c r="P297" s="8"/>
      <c r="Q297" s="8"/>
    </row>
    <row r="298" customFormat="false" ht="15" hidden="false" customHeight="false" outlineLevel="0" collapsed="false">
      <c r="A298" s="13"/>
      <c r="B298" s="13"/>
      <c r="C298" s="13"/>
      <c r="D298" s="13"/>
      <c r="E298" s="13"/>
      <c r="F298" s="13"/>
      <c r="G298" s="13"/>
      <c r="H298" s="14"/>
      <c r="I298" s="13"/>
      <c r="J298" s="13"/>
      <c r="K298" s="15" t="str">
        <f aca="false">IF(A298="","",COUNTIF(Quotes!$C$2:$C$301,A298))</f>
        <v/>
      </c>
      <c r="L298" s="15" t="str">
        <f aca="false">IF(A298="","",K298&gt;0)</f>
        <v/>
      </c>
      <c r="M298" s="15" t="str">
        <f aca="false">IF(A298="","",COUNTIF(Picks!$C$2:$C$301,A298))</f>
        <v/>
      </c>
      <c r="N298" s="17" t="str">
        <f aca="false">IF(A298="","",IF(M298=0,"no wins",K298/M298))</f>
        <v/>
      </c>
      <c r="O298" s="15" t="str">
        <f aca="false">IF(A298="","",COUNTIFS(Picks!$C$2:$C$301,A298,Picks!$H$2:$H$301,"Y"))</f>
        <v/>
      </c>
      <c r="P298" s="8"/>
      <c r="Q298" s="8"/>
    </row>
    <row r="299" customFormat="false" ht="15" hidden="false" customHeight="false" outlineLevel="0" collapsed="false">
      <c r="A299" s="13"/>
      <c r="B299" s="13"/>
      <c r="C299" s="13"/>
      <c r="D299" s="13"/>
      <c r="E299" s="13"/>
      <c r="F299" s="13"/>
      <c r="G299" s="13"/>
      <c r="H299" s="14"/>
      <c r="I299" s="13"/>
      <c r="J299" s="13"/>
      <c r="K299" s="15" t="str">
        <f aca="false">IF(A299="","",COUNTIF(Quotes!$C$2:$C$301,A299))</f>
        <v/>
      </c>
      <c r="L299" s="15" t="str">
        <f aca="false">IF(A299="","",K299&gt;0)</f>
        <v/>
      </c>
      <c r="M299" s="15" t="str">
        <f aca="false">IF(A299="","",COUNTIF(Picks!$C$2:$C$301,A299))</f>
        <v/>
      </c>
      <c r="N299" s="17" t="str">
        <f aca="false">IF(A299="","",IF(M299=0,"no wins",K299/M299))</f>
        <v/>
      </c>
      <c r="O299" s="15" t="str">
        <f aca="false">IF(A299="","",COUNTIFS(Picks!$C$2:$C$301,A299,Picks!$H$2:$H$301,"Y"))</f>
        <v/>
      </c>
      <c r="P299" s="8"/>
      <c r="Q299" s="8"/>
    </row>
    <row r="300" customFormat="false" ht="15" hidden="false" customHeight="false" outlineLevel="0" collapsed="false">
      <c r="A300" s="13"/>
      <c r="B300" s="13"/>
      <c r="C300" s="13"/>
      <c r="D300" s="13"/>
      <c r="E300" s="13"/>
      <c r="F300" s="13"/>
      <c r="G300" s="13"/>
      <c r="H300" s="14"/>
      <c r="I300" s="13"/>
      <c r="J300" s="13"/>
      <c r="K300" s="15" t="str">
        <f aca="false">IF(A300="","",COUNTIF(Quotes!$C$2:$C$301,A300))</f>
        <v/>
      </c>
      <c r="L300" s="15" t="str">
        <f aca="false">IF(A300="","",K300&gt;0)</f>
        <v/>
      </c>
      <c r="M300" s="15" t="str">
        <f aca="false">IF(A300="","",COUNTIF(Picks!$C$2:$C$301,A300))</f>
        <v/>
      </c>
      <c r="N300" s="17" t="str">
        <f aca="false">IF(A300="","",IF(M300=0,"no wins",K300/M300))</f>
        <v/>
      </c>
      <c r="O300" s="15" t="str">
        <f aca="false">IF(A300="","",COUNTIFS(Picks!$C$2:$C$301,A300,Picks!$H$2:$H$301,"Y"))</f>
        <v/>
      </c>
      <c r="P300" s="8"/>
      <c r="Q300" s="8"/>
    </row>
    <row r="301" customFormat="false" ht="15" hidden="false" customHeight="false" outlineLevel="0" collapsed="false">
      <c r="A301" s="13"/>
      <c r="B301" s="13"/>
      <c r="C301" s="13"/>
      <c r="D301" s="13"/>
      <c r="E301" s="13"/>
      <c r="F301" s="13"/>
      <c r="G301" s="13"/>
      <c r="H301" s="14"/>
      <c r="I301" s="13"/>
      <c r="J301" s="13"/>
      <c r="K301" s="15" t="str">
        <f aca="false">IF(A301="","",COUNTIF(Quotes!$C$2:$C$301,A301))</f>
        <v/>
      </c>
      <c r="L301" s="15" t="str">
        <f aca="false">IF(A301="","",K301&gt;0)</f>
        <v/>
      </c>
      <c r="M301" s="15" t="str">
        <f aca="false">IF(A301="","",COUNTIF(Picks!$C$2:$C$301,A301))</f>
        <v/>
      </c>
      <c r="N301" s="17" t="str">
        <f aca="false">IF(A301="","",IF(M301=0,"no wins",K301/M301))</f>
        <v/>
      </c>
      <c r="O301" s="15" t="str">
        <f aca="false">IF(A301="","",COUNTIFS(Picks!$C$2:$C$301,A301,Picks!$H$2:$H$301,"Y"))</f>
        <v/>
      </c>
      <c r="P301" s="8"/>
      <c r="Q30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12"/>
    <col collapsed="false" customWidth="true" hidden="false" outlineLevel="0" max="4" min="4" style="0" width="21"/>
    <col collapsed="false" customWidth="true" hidden="false" outlineLevel="0" max="6" min="5" style="0" width="14"/>
    <col collapsed="false" customWidth="true" hidden="false" outlineLevel="0" max="7" min="7" style="0" width="16"/>
    <col collapsed="false" customWidth="true" hidden="false" outlineLevel="0" max="8" min="8" style="0" width="14"/>
    <col collapsed="false" customWidth="true" hidden="false" outlineLevel="0" max="9" min="9" style="0" width="22"/>
    <col collapsed="false" customWidth="true" hidden="false" outlineLevel="0" max="10" min="10" style="0" width="30"/>
    <col collapsed="false" customWidth="true" hidden="false" outlineLevel="0" max="11" min="11" style="0" width="17"/>
    <col collapsed="false" customWidth="true" hidden="false" outlineLevel="0" max="12" min="12" style="0" width="30"/>
    <col collapsed="false" customWidth="true" hidden="false" outlineLevel="0" max="13" min="13" style="0" width="21"/>
    <col collapsed="false" customWidth="true" hidden="false" outlineLevel="0" max="14" min="14" style="0" width="28"/>
    <col collapsed="false" customWidth="true" hidden="false" outlineLevel="0" max="15" min="15" style="0" width="21"/>
    <col collapsed="false" customWidth="true" hidden="false" outlineLevel="0" max="16" min="16" style="0" width="30"/>
    <col collapsed="false" customWidth="true" hidden="false" outlineLevel="0" max="17" min="17" style="0" width="12"/>
    <col collapsed="false" customWidth="true" hidden="false" outlineLevel="0" max="18" min="18" style="0" width="30"/>
    <col collapsed="false" customWidth="true" hidden="false" outlineLevel="0" max="19" min="19" style="0" width="26"/>
    <col collapsed="false" customWidth="true" hidden="false" outlineLevel="0" max="20" min="20" style="0" width="12"/>
  </cols>
  <sheetData>
    <row r="1" customFormat="false" ht="31.5" hidden="false" customHeight="true" outlineLevel="0" collapsed="false">
      <c r="A1" s="10" t="s">
        <v>124</v>
      </c>
      <c r="B1" s="10" t="s">
        <v>125</v>
      </c>
      <c r="C1" s="10" t="s">
        <v>126</v>
      </c>
      <c r="D1" s="10" t="s">
        <v>127</v>
      </c>
      <c r="E1" s="10" t="s">
        <v>38</v>
      </c>
      <c r="F1" s="10" t="s">
        <v>34</v>
      </c>
      <c r="G1" s="10" t="s">
        <v>128</v>
      </c>
      <c r="H1" s="10" t="s">
        <v>129</v>
      </c>
      <c r="I1" s="10" t="s">
        <v>130</v>
      </c>
      <c r="J1" s="10" t="s">
        <v>56</v>
      </c>
      <c r="K1" s="10" t="s">
        <v>131</v>
      </c>
      <c r="L1" s="10" t="s">
        <v>132</v>
      </c>
      <c r="M1" s="10" t="s">
        <v>133</v>
      </c>
      <c r="N1" s="10" t="s">
        <v>134</v>
      </c>
      <c r="O1" s="10" t="s">
        <v>135</v>
      </c>
      <c r="P1" s="10" t="s">
        <v>136</v>
      </c>
      <c r="Q1" s="10" t="s">
        <v>137</v>
      </c>
      <c r="R1" s="10" t="s">
        <v>138</v>
      </c>
      <c r="S1" s="10" t="s">
        <v>139</v>
      </c>
      <c r="T1" s="10" t="s">
        <v>140</v>
      </c>
      <c r="U1" s="8"/>
      <c r="V1" s="8" t="s">
        <v>69</v>
      </c>
    </row>
    <row r="2" customFormat="false" ht="15" hidden="false" customHeight="false" outlineLevel="0" collapsed="false">
      <c r="A2" s="13" t="s">
        <v>141</v>
      </c>
      <c r="B2" s="18" t="n">
        <v>46328.7395833333</v>
      </c>
      <c r="C2" s="15" t="n">
        <f aca="false">IF(B2="","",INT((B2-Settings!$B$2)/7)+1)</f>
        <v>1</v>
      </c>
      <c r="D2" s="13" t="s">
        <v>27</v>
      </c>
      <c r="E2" s="16" t="b">
        <f aca="false">IF(A2="","",OR(D2=Settings!$B$3,AND(Settings!$B$4&lt;&gt;"",D2=Settings!$B$4)))</f>
        <v>1</v>
      </c>
      <c r="F2" s="13" t="s">
        <v>142</v>
      </c>
      <c r="G2" s="13" t="s">
        <v>76</v>
      </c>
      <c r="H2" s="13" t="s">
        <v>143</v>
      </c>
      <c r="I2" s="13" t="s">
        <v>144</v>
      </c>
      <c r="J2" s="13" t="s">
        <v>145</v>
      </c>
      <c r="K2" s="18" t="n">
        <v>46328.78125</v>
      </c>
      <c r="L2" s="13" t="s">
        <v>91</v>
      </c>
      <c r="M2" s="15" t="n">
        <f aca="false">IF(A2="","",COUNTIFS(Quotes!$B$2:$B$301,A2,Quotes!$G$2:$G$301,"Y"))</f>
        <v>2</v>
      </c>
      <c r="N2" s="17" t="n">
        <f aca="false">IF(A2="","",IF(M2=0,"",_xlfn.MINIFS(Quotes!$F$2:$F$301,Quotes!$B$2:$B$301,A2,Quotes!$G$2:$G$301,"Y")))</f>
        <v>2.88957493985056</v>
      </c>
      <c r="O2" s="16" t="b">
        <f aca="false">IF(A2="","",AND(E2,G2="Y"))</f>
        <v>1</v>
      </c>
      <c r="P2" s="17" t="n">
        <f aca="false">IF(A2="","",IF(AND(O2,N2&lt;&gt;""),N2,""))</f>
        <v>2.88957493985056</v>
      </c>
      <c r="Q2" s="16" t="b">
        <f aca="false">IF(A2="","",COUNTIF(Picks!$A$2:$A$301,A2)&gt;0)</f>
        <v>0</v>
      </c>
      <c r="R2" s="13" t="n">
        <v>25</v>
      </c>
      <c r="S2" s="13" t="s">
        <v>146</v>
      </c>
      <c r="T2" s="16" t="b">
        <f aca="false">IF(A2="","",COUNTIF(Nudges!$C$2:$C$301,A2)&gt;0)</f>
        <v>0</v>
      </c>
      <c r="U2" s="8"/>
      <c r="V2" s="8"/>
    </row>
    <row r="3" customFormat="false" ht="15" hidden="false" customHeight="false" outlineLevel="0" collapsed="false">
      <c r="A3" s="13" t="s">
        <v>147</v>
      </c>
      <c r="B3" s="18" t="n">
        <v>46330.6458333333</v>
      </c>
      <c r="C3" s="15" t="n">
        <f aca="false">IF(B3="","",INT((B3-Settings!$B$2)/7)+1)</f>
        <v>1</v>
      </c>
      <c r="D3" s="13" t="s">
        <v>25</v>
      </c>
      <c r="E3" s="16" t="b">
        <f aca="false">IF(A3="","",OR(D3=Settings!$B$3,AND(Settings!$B$4&lt;&gt;"",D3=Settings!$B$4)))</f>
        <v>1</v>
      </c>
      <c r="F3" s="13" t="s">
        <v>148</v>
      </c>
      <c r="G3" s="13" t="s">
        <v>76</v>
      </c>
      <c r="H3" s="13" t="s">
        <v>149</v>
      </c>
      <c r="I3" s="13" t="s">
        <v>150</v>
      </c>
      <c r="J3" s="13" t="s">
        <v>151</v>
      </c>
      <c r="K3" s="18" t="n">
        <v>46330.6875</v>
      </c>
      <c r="L3" s="13" t="s">
        <v>76</v>
      </c>
      <c r="M3" s="15" t="n">
        <f aca="false">IF(A3="","",COUNTIFS(Quotes!$B$2:$B$301,A3,Quotes!$G$2:$G$301,"Y"))</f>
        <v>0</v>
      </c>
      <c r="N3" s="17" t="str">
        <f aca="false">IF(A3="","",IF(M3=0,"",_xlfn.MINIFS(Quotes!$F$2:$F$301,Quotes!$B$2:$B$301,A3,Quotes!$G$2:$G$301,"Y")))</f>
        <v/>
      </c>
      <c r="O3" s="16" t="b">
        <f aca="false">IF(A3="","",AND(E3,G3="Y"))</f>
        <v>1</v>
      </c>
      <c r="P3" s="17" t="str">
        <f aca="false">IF(A3="","",IF(AND(O3,N3&lt;&gt;""),N3,""))</f>
        <v/>
      </c>
      <c r="Q3" s="16" t="b">
        <f aca="false">IF(A3="","",COUNTIF(Picks!$A$2:$A$301,A3)&gt;0)</f>
        <v>0</v>
      </c>
      <c r="R3" s="13" t="n">
        <v>30</v>
      </c>
      <c r="S3" s="13"/>
      <c r="T3" s="16" t="b">
        <f aca="false">IF(A3="","",COUNTIF(Nudges!$C$2:$C$301,A3)&gt;0)</f>
        <v>1</v>
      </c>
      <c r="U3" s="8"/>
      <c r="V3" s="8"/>
    </row>
    <row r="4" customFormat="false" ht="15" hidden="false" customHeight="false" outlineLevel="0" collapsed="false">
      <c r="A4" s="13" t="s">
        <v>152</v>
      </c>
      <c r="B4" s="18" t="n">
        <v>46331.4270833333</v>
      </c>
      <c r="C4" s="15" t="n">
        <f aca="false">IF(B4="","",INT((B4-Settings!$B$2)/7)+1)</f>
        <v>1</v>
      </c>
      <c r="D4" s="13" t="s">
        <v>27</v>
      </c>
      <c r="E4" s="16" t="b">
        <f aca="false">IF(A4="","",OR(D4=Settings!$B$3,AND(Settings!$B$4&lt;&gt;"",D4=Settings!$B$4)))</f>
        <v>1</v>
      </c>
      <c r="F4" s="13" t="s">
        <v>148</v>
      </c>
      <c r="G4" s="13" t="s">
        <v>76</v>
      </c>
      <c r="H4" s="13" t="s">
        <v>153</v>
      </c>
      <c r="I4" s="13" t="s">
        <v>154</v>
      </c>
      <c r="J4" s="13" t="s">
        <v>155</v>
      </c>
      <c r="K4" s="18" t="n">
        <v>46331.5104166667</v>
      </c>
      <c r="L4" s="13" t="s">
        <v>76</v>
      </c>
      <c r="M4" s="15" t="n">
        <f aca="false">IF(A4="","",COUNTIFS(Quotes!$B$2:$B$301,A4,Quotes!$G$2:$G$301,"Y"))</f>
        <v>2</v>
      </c>
      <c r="N4" s="17" t="n">
        <f aca="false">IF(A4="","",IF(M4=0,"",_xlfn.MINIFS(Quotes!$F$2:$F$301,Quotes!$B$2:$B$301,A4,Quotes!$G$2:$G$301,"Y")))</f>
        <v>7.32237213797611</v>
      </c>
      <c r="O4" s="16" t="b">
        <f aca="false">IF(A4="","",AND(E4,G4="Y"))</f>
        <v>1</v>
      </c>
      <c r="P4" s="17" t="n">
        <f aca="false">IF(A4="","",IF(AND(O4,N4&lt;&gt;""),N4,""))</f>
        <v>7.32237213797611</v>
      </c>
      <c r="Q4" s="16" t="b">
        <f aca="false">IF(A4="","",COUNTIF(Picks!$A$2:$A$301,A4)&gt;0)</f>
        <v>0</v>
      </c>
      <c r="R4" s="13" t="n">
        <v>40</v>
      </c>
      <c r="S4" s="13" t="s">
        <v>156</v>
      </c>
      <c r="T4" s="16" t="b">
        <f aca="false">IF(A4="","",COUNTIF(Nudges!$C$2:$C$301,A4)&gt;0)</f>
        <v>1</v>
      </c>
      <c r="U4" s="8"/>
      <c r="V4" s="8"/>
    </row>
    <row r="5" customFormat="false" ht="15" hidden="false" customHeight="false" outlineLevel="0" collapsed="false">
      <c r="A5" s="13" t="s">
        <v>157</v>
      </c>
      <c r="B5" s="18" t="n">
        <v>46331.6979166667</v>
      </c>
      <c r="C5" s="15" t="n">
        <f aca="false">IF(B5="","",INT((B5-Settings!$B$2)/7)+1)</f>
        <v>1</v>
      </c>
      <c r="D5" s="13" t="s">
        <v>27</v>
      </c>
      <c r="E5" s="16" t="b">
        <f aca="false">IF(A5="","",OR(D5=Settings!$B$3,AND(Settings!$B$4&lt;&gt;"",D5=Settings!$B$4)))</f>
        <v>1</v>
      </c>
      <c r="F5" s="13" t="s">
        <v>158</v>
      </c>
      <c r="G5" s="13" t="s">
        <v>76</v>
      </c>
      <c r="H5" s="13" t="s">
        <v>159</v>
      </c>
      <c r="I5" s="13" t="s">
        <v>160</v>
      </c>
      <c r="J5" s="13" t="s">
        <v>161</v>
      </c>
      <c r="K5" s="18" t="n">
        <v>46331.78125</v>
      </c>
      <c r="L5" s="13" t="s">
        <v>76</v>
      </c>
      <c r="M5" s="15" t="n">
        <f aca="false">IF(A5="","",COUNTIFS(Quotes!$B$2:$B$301,A5,Quotes!$G$2:$G$301,"Y"))</f>
        <v>0</v>
      </c>
      <c r="N5" s="17" t="str">
        <f aca="false">IF(A5="","",IF(M5=0,"",_xlfn.MINIFS(Quotes!$F$2:$F$301,Quotes!$B$2:$B$301,A5,Quotes!$G$2:$G$301,"Y")))</f>
        <v/>
      </c>
      <c r="O5" s="16" t="b">
        <f aca="false">IF(A5="","",AND(E5,G5="Y"))</f>
        <v>1</v>
      </c>
      <c r="P5" s="17" t="str">
        <f aca="false">IF(A5="","",IF(AND(O5,N5&lt;&gt;""),N5,""))</f>
        <v/>
      </c>
      <c r="Q5" s="16" t="b">
        <f aca="false">IF(A5="","",COUNTIF(Picks!$A$2:$A$301,A5)&gt;0)</f>
        <v>0</v>
      </c>
      <c r="R5" s="13" t="n">
        <v>35</v>
      </c>
      <c r="S5" s="13"/>
      <c r="T5" s="16" t="b">
        <f aca="false">IF(A5="","",COUNTIF(Nudges!$C$2:$C$301,A5)&gt;0)</f>
        <v>0</v>
      </c>
      <c r="U5" s="8"/>
      <c r="V5" s="8"/>
    </row>
    <row r="6" customFormat="false" ht="15" hidden="false" customHeight="false" outlineLevel="0" collapsed="false">
      <c r="A6" s="13" t="s">
        <v>162</v>
      </c>
      <c r="B6" s="18" t="n">
        <v>46334.3854166667</v>
      </c>
      <c r="C6" s="15" t="n">
        <f aca="false">IF(B6="","",INT((B6-Settings!$B$2)/7)+1)</f>
        <v>1</v>
      </c>
      <c r="D6" s="13" t="s">
        <v>25</v>
      </c>
      <c r="E6" s="16" t="b">
        <f aca="false">IF(A6="","",OR(D6=Settings!$B$3,AND(Settings!$B$4&lt;&gt;"",D6=Settings!$B$4)))</f>
        <v>1</v>
      </c>
      <c r="F6" s="13" t="s">
        <v>158</v>
      </c>
      <c r="G6" s="13" t="s">
        <v>76</v>
      </c>
      <c r="H6" s="13" t="s">
        <v>163</v>
      </c>
      <c r="I6" s="13" t="s">
        <v>164</v>
      </c>
      <c r="J6" s="13" t="s">
        <v>165</v>
      </c>
      <c r="K6" s="18" t="n">
        <v>46334.4270833333</v>
      </c>
      <c r="L6" s="13" t="s">
        <v>91</v>
      </c>
      <c r="M6" s="15" t="n">
        <f aca="false">IF(A6="","",COUNTIFS(Quotes!$B$2:$B$301,A6,Quotes!$G$2:$G$301,"Y"))</f>
        <v>1</v>
      </c>
      <c r="N6" s="17" t="n">
        <f aca="false">IF(A6="","",IF(M6=0,"",_xlfn.MINIFS(Quotes!$F$2:$F$301,Quotes!$B$2:$B$301,A6,Quotes!$G$2:$G$301,"Y")))</f>
        <v>0.6840146133325</v>
      </c>
      <c r="O6" s="16" t="b">
        <f aca="false">IF(A6="","",AND(E6,G6="Y"))</f>
        <v>1</v>
      </c>
      <c r="P6" s="17" t="n">
        <f aca="false">IF(A6="","",IF(AND(O6,N6&lt;&gt;""),N6,""))</f>
        <v>0.6840146133325</v>
      </c>
      <c r="Q6" s="16" t="b">
        <f aca="false">IF(A6="","",COUNTIF(Picks!$A$2:$A$301,A6)&gt;0)</f>
        <v>0</v>
      </c>
      <c r="R6" s="13" t="n">
        <v>35</v>
      </c>
      <c r="S6" s="13" t="s">
        <v>156</v>
      </c>
      <c r="T6" s="16" t="b">
        <f aca="false">IF(A6="","",COUNTIF(Nudges!$C$2:$C$301,A6)&gt;0)</f>
        <v>0</v>
      </c>
      <c r="U6" s="8"/>
      <c r="V6" s="8"/>
    </row>
    <row r="7" customFormat="false" ht="15" hidden="false" customHeight="false" outlineLevel="0" collapsed="false">
      <c r="A7" s="13" t="s">
        <v>166</v>
      </c>
      <c r="B7" s="18" t="n">
        <v>46335.6041666667</v>
      </c>
      <c r="C7" s="15" t="n">
        <f aca="false">IF(B7="","",INT((B7-Settings!$B$2)/7)+1)</f>
        <v>2</v>
      </c>
      <c r="D7" s="13" t="s">
        <v>25</v>
      </c>
      <c r="E7" s="16" t="b">
        <f aca="false">IF(A7="","",OR(D7=Settings!$B$3,AND(Settings!$B$4&lt;&gt;"",D7=Settings!$B$4)))</f>
        <v>1</v>
      </c>
      <c r="F7" s="13" t="s">
        <v>148</v>
      </c>
      <c r="G7" s="13" t="s">
        <v>76</v>
      </c>
      <c r="H7" s="13" t="s">
        <v>167</v>
      </c>
      <c r="I7" s="13" t="s">
        <v>168</v>
      </c>
      <c r="J7" s="13" t="s">
        <v>169</v>
      </c>
      <c r="K7" s="18" t="n">
        <v>46335.6875</v>
      </c>
      <c r="L7" s="13" t="s">
        <v>91</v>
      </c>
      <c r="M7" s="15" t="n">
        <f aca="false">IF(A7="","",COUNTIFS(Quotes!$B$2:$B$301,A7,Quotes!$G$2:$G$301,"Y"))</f>
        <v>4</v>
      </c>
      <c r="N7" s="17" t="n">
        <f aca="false">IF(A7="","",IF(M7=0,"",_xlfn.MINIFS(Quotes!$F$2:$F$301,Quotes!$B$2:$B$301,A7,Quotes!$G$2:$G$301,"Y")))</f>
        <v>2.34890088293444</v>
      </c>
      <c r="O7" s="16" t="b">
        <f aca="false">IF(A7="","",AND(E7,G7="Y"))</f>
        <v>1</v>
      </c>
      <c r="P7" s="17" t="n">
        <f aca="false">IF(A7="","",IF(AND(O7,N7&lt;&gt;""),N7,""))</f>
        <v>2.34890088293444</v>
      </c>
      <c r="Q7" s="16" t="b">
        <f aca="false">IF(A7="","",COUNTIF(Picks!$A$2:$A$301,A7)&gt;0)</f>
        <v>0</v>
      </c>
      <c r="R7" s="13" t="n">
        <v>20</v>
      </c>
      <c r="S7" s="13" t="s">
        <v>146</v>
      </c>
      <c r="T7" s="16" t="b">
        <f aca="false">IF(A7="","",COUNTIF(Nudges!$C$2:$C$301,A7)&gt;0)</f>
        <v>0</v>
      </c>
      <c r="U7" s="8"/>
      <c r="V7" s="8"/>
    </row>
    <row r="8" customFormat="false" ht="15" hidden="false" customHeight="false" outlineLevel="0" collapsed="false">
      <c r="A8" s="13" t="s">
        <v>170</v>
      </c>
      <c r="B8" s="18" t="n">
        <v>46336.5208333333</v>
      </c>
      <c r="C8" s="15" t="n">
        <f aca="false">IF(B8="","",INT((B8-Settings!$B$2)/7)+1)</f>
        <v>2</v>
      </c>
      <c r="D8" s="13" t="s">
        <v>25</v>
      </c>
      <c r="E8" s="16" t="b">
        <f aca="false">IF(A8="","",OR(D8=Settings!$B$3,AND(Settings!$B$4&lt;&gt;"",D8=Settings!$B$4)))</f>
        <v>1</v>
      </c>
      <c r="F8" s="13" t="s">
        <v>158</v>
      </c>
      <c r="G8" s="13" t="s">
        <v>76</v>
      </c>
      <c r="H8" s="13" t="s">
        <v>171</v>
      </c>
      <c r="I8" s="13" t="s">
        <v>172</v>
      </c>
      <c r="J8" s="13" t="s">
        <v>173</v>
      </c>
      <c r="K8" s="18" t="n">
        <v>46336.6041666667</v>
      </c>
      <c r="L8" s="13" t="s">
        <v>91</v>
      </c>
      <c r="M8" s="15" t="n">
        <f aca="false">IF(A8="","",COUNTIFS(Quotes!$B$2:$B$301,A8,Quotes!$G$2:$G$301,"Y"))</f>
        <v>0</v>
      </c>
      <c r="N8" s="17" t="str">
        <f aca="false">IF(A8="","",IF(M8=0,"",_xlfn.MINIFS(Quotes!$F$2:$F$301,Quotes!$B$2:$B$301,A8,Quotes!$G$2:$G$301,"Y")))</f>
        <v/>
      </c>
      <c r="O8" s="16" t="b">
        <f aca="false">IF(A8="","",AND(E8,G8="Y"))</f>
        <v>1</v>
      </c>
      <c r="P8" s="17" t="str">
        <f aca="false">IF(A8="","",IF(AND(O8,N8&lt;&gt;""),N8,""))</f>
        <v/>
      </c>
      <c r="Q8" s="16" t="b">
        <f aca="false">IF(A8="","",COUNTIF(Picks!$A$2:$A$301,A8)&gt;0)</f>
        <v>0</v>
      </c>
      <c r="R8" s="13" t="n">
        <v>30</v>
      </c>
      <c r="S8" s="13"/>
      <c r="T8" s="16" t="b">
        <f aca="false">IF(A8="","",COUNTIF(Nudges!$C$2:$C$301,A8)&gt;0)</f>
        <v>1</v>
      </c>
      <c r="U8" s="8"/>
      <c r="V8" s="8"/>
    </row>
    <row r="9" customFormat="false" ht="15" hidden="false" customHeight="false" outlineLevel="0" collapsed="false">
      <c r="A9" s="13" t="s">
        <v>174</v>
      </c>
      <c r="B9" s="18" t="n">
        <v>46336.6770833333</v>
      </c>
      <c r="C9" s="15" t="n">
        <f aca="false">IF(B9="","",INT((B9-Settings!$B$2)/7)+1)</f>
        <v>2</v>
      </c>
      <c r="D9" s="13" t="s">
        <v>27</v>
      </c>
      <c r="E9" s="16" t="b">
        <f aca="false">IF(A9="","",OR(D9=Settings!$B$3,AND(Settings!$B$4&lt;&gt;"",D9=Settings!$B$4)))</f>
        <v>1</v>
      </c>
      <c r="F9" s="13" t="s">
        <v>148</v>
      </c>
      <c r="G9" s="13" t="s">
        <v>76</v>
      </c>
      <c r="H9" s="13" t="s">
        <v>175</v>
      </c>
      <c r="I9" s="13" t="s">
        <v>176</v>
      </c>
      <c r="J9" s="13" t="s">
        <v>177</v>
      </c>
      <c r="K9" s="18" t="n">
        <v>46336.7604166667</v>
      </c>
      <c r="L9" s="13" t="s">
        <v>91</v>
      </c>
      <c r="M9" s="15" t="n">
        <f aca="false">IF(A9="","",COUNTIFS(Quotes!$B$2:$B$301,A9,Quotes!$G$2:$G$301,"Y"))</f>
        <v>3</v>
      </c>
      <c r="N9" s="17" t="n">
        <f aca="false">IF(A9="","",IF(M9=0,"",_xlfn.MINIFS(Quotes!$F$2:$F$301,Quotes!$B$2:$B$301,A9,Quotes!$G$2:$G$301,"Y")))</f>
        <v>1.70402415725389</v>
      </c>
      <c r="O9" s="16" t="b">
        <f aca="false">IF(A9="","",AND(E9,G9="Y"))</f>
        <v>1</v>
      </c>
      <c r="P9" s="17" t="n">
        <f aca="false">IF(A9="","",IF(AND(O9,N9&lt;&gt;""),N9,""))</f>
        <v>1.70402415725389</v>
      </c>
      <c r="Q9" s="16" t="b">
        <f aca="false">IF(A9="","",COUNTIF(Picks!$A$2:$A$301,A9)&gt;0)</f>
        <v>1</v>
      </c>
      <c r="R9" s="13" t="n">
        <v>35</v>
      </c>
      <c r="S9" s="13"/>
      <c r="T9" s="16" t="b">
        <f aca="false">IF(A9="","",COUNTIF(Nudges!$C$2:$C$301,A9)&gt;0)</f>
        <v>0</v>
      </c>
      <c r="U9" s="8"/>
      <c r="V9" s="8"/>
    </row>
    <row r="10" customFormat="false" ht="15" hidden="false" customHeight="false" outlineLevel="0" collapsed="false">
      <c r="A10" s="13" t="s">
        <v>178</v>
      </c>
      <c r="B10" s="18" t="n">
        <v>46338.375</v>
      </c>
      <c r="C10" s="15" t="n">
        <f aca="false">IF(B10="","",INT((B10-Settings!$B$2)/7)+1)</f>
        <v>2</v>
      </c>
      <c r="D10" s="13" t="s">
        <v>179</v>
      </c>
      <c r="E10" s="16" t="b">
        <f aca="false">IF(A10="","",OR(D10=Settings!$B$3,AND(Settings!$B$4&lt;&gt;"",D10=Settings!$B$4)))</f>
        <v>0</v>
      </c>
      <c r="F10" s="13" t="s">
        <v>158</v>
      </c>
      <c r="G10" s="13" t="s">
        <v>91</v>
      </c>
      <c r="H10" s="13" t="s">
        <v>180</v>
      </c>
      <c r="I10" s="13" t="s">
        <v>181</v>
      </c>
      <c r="J10" s="13" t="s">
        <v>182</v>
      </c>
      <c r="K10" s="18"/>
      <c r="L10" s="13"/>
      <c r="M10" s="15" t="n">
        <f aca="false">IF(A10="","",COUNTIFS(Quotes!$B$2:$B$301,A10,Quotes!$G$2:$G$301,"Y"))</f>
        <v>0</v>
      </c>
      <c r="N10" s="17" t="str">
        <f aca="false">IF(A10="","",IF(M10=0,"",_xlfn.MINIFS(Quotes!$F$2:$F$301,Quotes!$B$2:$B$301,A10,Quotes!$G$2:$G$301,"Y")))</f>
        <v/>
      </c>
      <c r="O10" s="16" t="b">
        <f aca="false">IF(A10="","",AND(E10,G10="Y"))</f>
        <v>0</v>
      </c>
      <c r="P10" s="17" t="str">
        <f aca="false">IF(A10="","",IF(AND(O10,N10&lt;&gt;""),N10,""))</f>
        <v/>
      </c>
      <c r="Q10" s="16" t="b">
        <f aca="false">IF(A10="","",COUNTIF(Picks!$A$2:$A$301,A10)&gt;0)</f>
        <v>0</v>
      </c>
      <c r="R10" s="13" t="n">
        <v>40</v>
      </c>
      <c r="S10" s="13" t="s">
        <v>183</v>
      </c>
      <c r="T10" s="16" t="b">
        <f aca="false">IF(A10="","",COUNTIF(Nudges!$C$2:$C$301,A10)&gt;0)</f>
        <v>0</v>
      </c>
      <c r="U10" s="8"/>
      <c r="V10" s="8"/>
    </row>
    <row r="11" customFormat="false" ht="15" hidden="false" customHeight="false" outlineLevel="0" collapsed="false">
      <c r="A11" s="13" t="s">
        <v>184</v>
      </c>
      <c r="B11" s="18" t="n">
        <v>46339.6354166667</v>
      </c>
      <c r="C11" s="15" t="n">
        <f aca="false">IF(B11="","",INT((B11-Settings!$B$2)/7)+1)</f>
        <v>2</v>
      </c>
      <c r="D11" s="13" t="s">
        <v>120</v>
      </c>
      <c r="E11" s="16" t="b">
        <f aca="false">IF(A11="","",OR(D11=Settings!$B$3,AND(Settings!$B$4&lt;&gt;"",D11=Settings!$B$4)))</f>
        <v>0</v>
      </c>
      <c r="F11" s="13" t="s">
        <v>158</v>
      </c>
      <c r="G11" s="13" t="s">
        <v>76</v>
      </c>
      <c r="H11" s="13" t="s">
        <v>185</v>
      </c>
      <c r="I11" s="13" t="s">
        <v>186</v>
      </c>
      <c r="J11" s="13" t="s">
        <v>187</v>
      </c>
      <c r="K11" s="18" t="n">
        <v>46339.6770833333</v>
      </c>
      <c r="L11" s="13" t="s">
        <v>91</v>
      </c>
      <c r="M11" s="15" t="n">
        <f aca="false">IF(A11="","",COUNTIFS(Quotes!$B$2:$B$301,A11,Quotes!$G$2:$G$301,"Y"))</f>
        <v>0</v>
      </c>
      <c r="N11" s="17" t="str">
        <f aca="false">IF(A11="","",IF(M11=0,"",_xlfn.MINIFS(Quotes!$F$2:$F$301,Quotes!$B$2:$B$301,A11,Quotes!$G$2:$G$301,"Y")))</f>
        <v/>
      </c>
      <c r="O11" s="16" t="b">
        <f aca="false">IF(A11="","",AND(E11,G11="Y"))</f>
        <v>0</v>
      </c>
      <c r="P11" s="17" t="str">
        <f aca="false">IF(A11="","",IF(AND(O11,N11&lt;&gt;""),N11,""))</f>
        <v/>
      </c>
      <c r="Q11" s="16" t="b">
        <f aca="false">IF(A11="","",COUNTIF(Picks!$A$2:$A$301,A11)&gt;0)</f>
        <v>0</v>
      </c>
      <c r="R11" s="13" t="n">
        <v>30</v>
      </c>
      <c r="S11" s="13"/>
      <c r="T11" s="16" t="b">
        <f aca="false">IF(A11="","",COUNTIF(Nudges!$C$2:$C$301,A11)&gt;0)</f>
        <v>1</v>
      </c>
      <c r="U11" s="8"/>
      <c r="V11" s="8"/>
    </row>
    <row r="12" customFormat="false" ht="15" hidden="false" customHeight="false" outlineLevel="0" collapsed="false">
      <c r="A12" s="13" t="s">
        <v>188</v>
      </c>
      <c r="B12" s="18" t="n">
        <v>46340.7708333333</v>
      </c>
      <c r="C12" s="15" t="n">
        <f aca="false">IF(B12="","",INT((B12-Settings!$B$2)/7)+1)</f>
        <v>2</v>
      </c>
      <c r="D12" s="13" t="s">
        <v>25</v>
      </c>
      <c r="E12" s="16" t="b">
        <f aca="false">IF(A12="","",OR(D12=Settings!$B$3,AND(Settings!$B$4&lt;&gt;"",D12=Settings!$B$4)))</f>
        <v>1</v>
      </c>
      <c r="F12" s="13" t="s">
        <v>158</v>
      </c>
      <c r="G12" s="13" t="s">
        <v>76</v>
      </c>
      <c r="H12" s="13" t="s">
        <v>189</v>
      </c>
      <c r="I12" s="13" t="s">
        <v>190</v>
      </c>
      <c r="J12" s="13" t="s">
        <v>191</v>
      </c>
      <c r="K12" s="18" t="n">
        <v>46340.8541666667</v>
      </c>
      <c r="L12" s="13" t="s">
        <v>76</v>
      </c>
      <c r="M12" s="15" t="n">
        <f aca="false">IF(A12="","",COUNTIFS(Quotes!$B$2:$B$301,A12,Quotes!$G$2:$G$301,"Y"))</f>
        <v>0</v>
      </c>
      <c r="N12" s="17" t="str">
        <f aca="false">IF(A12="","",IF(M12=0,"",_xlfn.MINIFS(Quotes!$F$2:$F$301,Quotes!$B$2:$B$301,A12,Quotes!$G$2:$G$301,"Y")))</f>
        <v/>
      </c>
      <c r="O12" s="16" t="b">
        <f aca="false">IF(A12="","",AND(E12,G12="Y"))</f>
        <v>1</v>
      </c>
      <c r="P12" s="17" t="str">
        <f aca="false">IF(A12="","",IF(AND(O12,N12&lt;&gt;""),N12,""))</f>
        <v/>
      </c>
      <c r="Q12" s="16" t="b">
        <f aca="false">IF(A12="","",COUNTIF(Picks!$A$2:$A$301,A12)&gt;0)</f>
        <v>0</v>
      </c>
      <c r="R12" s="13" t="n">
        <v>25</v>
      </c>
      <c r="S12" s="13"/>
      <c r="T12" s="16" t="b">
        <f aca="false">IF(A12="","",COUNTIF(Nudges!$C$2:$C$301,A12)&gt;0)</f>
        <v>0</v>
      </c>
      <c r="U12" s="8"/>
      <c r="V12" s="8"/>
    </row>
    <row r="13" customFormat="false" ht="15" hidden="false" customHeight="false" outlineLevel="0" collapsed="false">
      <c r="A13" s="13" t="s">
        <v>192</v>
      </c>
      <c r="B13" s="18" t="n">
        <v>46343.6979166667</v>
      </c>
      <c r="C13" s="15" t="n">
        <f aca="false">IF(B13="","",INT((B13-Settings!$B$2)/7)+1)</f>
        <v>3</v>
      </c>
      <c r="D13" s="13" t="s">
        <v>25</v>
      </c>
      <c r="E13" s="16" t="b">
        <f aca="false">IF(A13="","",OR(D13=Settings!$B$3,AND(Settings!$B$4&lt;&gt;"",D13=Settings!$B$4)))</f>
        <v>1</v>
      </c>
      <c r="F13" s="13" t="s">
        <v>158</v>
      </c>
      <c r="G13" s="13" t="s">
        <v>76</v>
      </c>
      <c r="H13" s="13" t="s">
        <v>193</v>
      </c>
      <c r="I13" s="13" t="s">
        <v>194</v>
      </c>
      <c r="J13" s="13" t="s">
        <v>195</v>
      </c>
      <c r="K13" s="18" t="n">
        <v>46343.8229166667</v>
      </c>
      <c r="L13" s="13" t="s">
        <v>91</v>
      </c>
      <c r="M13" s="15" t="n">
        <f aca="false">IF(A13="","",COUNTIFS(Quotes!$B$2:$B$301,A13,Quotes!$G$2:$G$301,"Y"))</f>
        <v>1</v>
      </c>
      <c r="N13" s="17" t="n">
        <f aca="false">IF(A13="","",IF(M13=0,"",_xlfn.MINIFS(Quotes!$F$2:$F$301,Quotes!$B$2:$B$301,A13,Quotes!$G$2:$G$301,"Y")))</f>
        <v>3.5548195955925</v>
      </c>
      <c r="O13" s="16" t="b">
        <f aca="false">IF(A13="","",AND(E13,G13="Y"))</f>
        <v>1</v>
      </c>
      <c r="P13" s="17" t="n">
        <f aca="false">IF(A13="","",IF(AND(O13,N13&lt;&gt;""),N13,""))</f>
        <v>3.5548195955925</v>
      </c>
      <c r="Q13" s="16" t="b">
        <f aca="false">IF(A13="","",COUNTIF(Picks!$A$2:$A$301,A13)&gt;0)</f>
        <v>0</v>
      </c>
      <c r="R13" s="13" t="n">
        <v>40</v>
      </c>
      <c r="S13" s="13" t="s">
        <v>146</v>
      </c>
      <c r="T13" s="16" t="b">
        <f aca="false">IF(A13="","",COUNTIF(Nudges!$C$2:$C$301,A13)&gt;0)</f>
        <v>0</v>
      </c>
      <c r="U13" s="8"/>
      <c r="V13" s="8"/>
    </row>
    <row r="14" customFormat="false" ht="15" hidden="false" customHeight="false" outlineLevel="0" collapsed="false">
      <c r="A14" s="13" t="s">
        <v>196</v>
      </c>
      <c r="B14" s="18" t="n">
        <v>46343.7083333333</v>
      </c>
      <c r="C14" s="15" t="n">
        <f aca="false">IF(B14="","",INT((B14-Settings!$B$2)/7)+1)</f>
        <v>3</v>
      </c>
      <c r="D14" s="13" t="s">
        <v>120</v>
      </c>
      <c r="E14" s="16" t="b">
        <f aca="false">IF(A14="","",OR(D14=Settings!$B$3,AND(Settings!$B$4&lt;&gt;"",D14=Settings!$B$4)))</f>
        <v>0</v>
      </c>
      <c r="F14" s="13" t="s">
        <v>142</v>
      </c>
      <c r="G14" s="13" t="s">
        <v>76</v>
      </c>
      <c r="H14" s="13" t="s">
        <v>197</v>
      </c>
      <c r="I14" s="13" t="s">
        <v>198</v>
      </c>
      <c r="J14" s="13" t="s">
        <v>199</v>
      </c>
      <c r="K14" s="18" t="n">
        <v>46343.75</v>
      </c>
      <c r="L14" s="13" t="s">
        <v>91</v>
      </c>
      <c r="M14" s="15" t="n">
        <f aca="false">IF(A14="","",COUNTIFS(Quotes!$B$2:$B$301,A14,Quotes!$G$2:$G$301,"Y"))</f>
        <v>0</v>
      </c>
      <c r="N14" s="17" t="str">
        <f aca="false">IF(A14="","",IF(M14=0,"",_xlfn.MINIFS(Quotes!$F$2:$F$301,Quotes!$B$2:$B$301,A14,Quotes!$G$2:$G$301,"Y")))</f>
        <v/>
      </c>
      <c r="O14" s="16" t="b">
        <f aca="false">IF(A14="","",AND(E14,G14="Y"))</f>
        <v>0</v>
      </c>
      <c r="P14" s="17" t="str">
        <f aca="false">IF(A14="","",IF(AND(O14,N14&lt;&gt;""),N14,""))</f>
        <v/>
      </c>
      <c r="Q14" s="16" t="b">
        <f aca="false">IF(A14="","",COUNTIF(Picks!$A$2:$A$301,A14)&gt;0)</f>
        <v>0</v>
      </c>
      <c r="R14" s="13" t="n">
        <v>30</v>
      </c>
      <c r="S14" s="13"/>
      <c r="T14" s="16" t="b">
        <f aca="false">IF(A14="","",COUNTIF(Nudges!$C$2:$C$301,A14)&gt;0)</f>
        <v>0</v>
      </c>
      <c r="U14" s="8"/>
      <c r="V14" s="8"/>
    </row>
    <row r="15" customFormat="false" ht="15" hidden="false" customHeight="false" outlineLevel="0" collapsed="false">
      <c r="A15" s="13" t="s">
        <v>200</v>
      </c>
      <c r="B15" s="18" t="n">
        <v>46345.7083333333</v>
      </c>
      <c r="C15" s="15" t="n">
        <f aca="false">IF(B15="","",INT((B15-Settings!$B$2)/7)+1)</f>
        <v>3</v>
      </c>
      <c r="D15" s="13" t="s">
        <v>25</v>
      </c>
      <c r="E15" s="16" t="b">
        <f aca="false">IF(A15="","",OR(D15=Settings!$B$3,AND(Settings!$B$4&lt;&gt;"",D15=Settings!$B$4)))</f>
        <v>1</v>
      </c>
      <c r="F15" s="13" t="s">
        <v>158</v>
      </c>
      <c r="G15" s="13" t="s">
        <v>76</v>
      </c>
      <c r="H15" s="13" t="s">
        <v>201</v>
      </c>
      <c r="I15" s="13" t="s">
        <v>202</v>
      </c>
      <c r="J15" s="13" t="s">
        <v>203</v>
      </c>
      <c r="K15" s="18" t="n">
        <v>46345.75</v>
      </c>
      <c r="L15" s="13" t="s">
        <v>76</v>
      </c>
      <c r="M15" s="15" t="n">
        <f aca="false">IF(A15="","",COUNTIFS(Quotes!$B$2:$B$301,A15,Quotes!$G$2:$G$301,"Y"))</f>
        <v>3</v>
      </c>
      <c r="N15" s="17" t="n">
        <f aca="false">IF(A15="","",IF(M15=0,"",_xlfn.MINIFS(Quotes!$F$2:$F$301,Quotes!$B$2:$B$301,A15,Quotes!$G$2:$G$301,"Y")))</f>
        <v>0.925676840473889</v>
      </c>
      <c r="O15" s="16" t="b">
        <f aca="false">IF(A15="","",AND(E15,G15="Y"))</f>
        <v>1</v>
      </c>
      <c r="P15" s="17" t="n">
        <f aca="false">IF(A15="","",IF(AND(O15,N15&lt;&gt;""),N15,""))</f>
        <v>0.925676840473889</v>
      </c>
      <c r="Q15" s="16" t="b">
        <f aca="false">IF(A15="","",COUNTIF(Picks!$A$2:$A$301,A15)&gt;0)</f>
        <v>1</v>
      </c>
      <c r="R15" s="13" t="n">
        <v>30</v>
      </c>
      <c r="S15" s="13"/>
      <c r="T15" s="16" t="b">
        <f aca="false">IF(A15="","",COUNTIF(Nudges!$C$2:$C$301,A15)&gt;0)</f>
        <v>0</v>
      </c>
      <c r="U15" s="8"/>
      <c r="V15" s="8"/>
    </row>
    <row r="16" customFormat="false" ht="15" hidden="false" customHeight="false" outlineLevel="0" collapsed="false">
      <c r="A16" s="13" t="s">
        <v>204</v>
      </c>
      <c r="B16" s="18" t="n">
        <v>46346.46875</v>
      </c>
      <c r="C16" s="15" t="n">
        <f aca="false">IF(B16="","",INT((B16-Settings!$B$2)/7)+1)</f>
        <v>3</v>
      </c>
      <c r="D16" s="13" t="s">
        <v>25</v>
      </c>
      <c r="E16" s="16" t="b">
        <f aca="false">IF(A16="","",OR(D16=Settings!$B$3,AND(Settings!$B$4&lt;&gt;"",D16=Settings!$B$4)))</f>
        <v>1</v>
      </c>
      <c r="F16" s="13" t="s">
        <v>148</v>
      </c>
      <c r="G16" s="13" t="s">
        <v>76</v>
      </c>
      <c r="H16" s="13" t="s">
        <v>205</v>
      </c>
      <c r="I16" s="13" t="s">
        <v>206</v>
      </c>
      <c r="J16" s="13" t="s">
        <v>207</v>
      </c>
      <c r="K16" s="18" t="n">
        <v>46346.5104166667</v>
      </c>
      <c r="L16" s="13" t="s">
        <v>76</v>
      </c>
      <c r="M16" s="15" t="n">
        <f aca="false">IF(A16="","",COUNTIFS(Quotes!$B$2:$B$301,A16,Quotes!$G$2:$G$301,"Y"))</f>
        <v>2</v>
      </c>
      <c r="N16" s="17" t="n">
        <f aca="false">IF(A16="","",IF(M16=0,"",_xlfn.MINIFS(Quotes!$F$2:$F$301,Quotes!$B$2:$B$301,A16,Quotes!$G$2:$G$301,"Y")))</f>
        <v>1.13638049655111</v>
      </c>
      <c r="O16" s="16" t="b">
        <f aca="false">IF(A16="","",AND(E16,G16="Y"))</f>
        <v>1</v>
      </c>
      <c r="P16" s="17" t="n">
        <f aca="false">IF(A16="","",IF(AND(O16,N16&lt;&gt;""),N16,""))</f>
        <v>1.13638049655111</v>
      </c>
      <c r="Q16" s="16" t="b">
        <f aca="false">IF(A16="","",COUNTIF(Picks!$A$2:$A$301,A16)&gt;0)</f>
        <v>0</v>
      </c>
      <c r="R16" s="13" t="n">
        <v>40</v>
      </c>
      <c r="S16" s="13" t="s">
        <v>156</v>
      </c>
      <c r="T16" s="16" t="b">
        <f aca="false">IF(A16="","",COUNTIF(Nudges!$C$2:$C$301,A16)&gt;0)</f>
        <v>1</v>
      </c>
      <c r="U16" s="8"/>
      <c r="V16" s="8"/>
    </row>
    <row r="17" customFormat="false" ht="15" hidden="false" customHeight="false" outlineLevel="0" collapsed="false">
      <c r="A17" s="13" t="s">
        <v>208</v>
      </c>
      <c r="B17" s="18" t="n">
        <v>46348.4895833333</v>
      </c>
      <c r="C17" s="15" t="n">
        <f aca="false">IF(B17="","",INT((B17-Settings!$B$2)/7)+1)</f>
        <v>3</v>
      </c>
      <c r="D17" s="13" t="s">
        <v>27</v>
      </c>
      <c r="E17" s="16" t="b">
        <f aca="false">IF(A17="","",OR(D17=Settings!$B$3,AND(Settings!$B$4&lt;&gt;"",D17=Settings!$B$4)))</f>
        <v>1</v>
      </c>
      <c r="F17" s="13" t="s">
        <v>142</v>
      </c>
      <c r="G17" s="13" t="s">
        <v>76</v>
      </c>
      <c r="H17" s="13" t="s">
        <v>209</v>
      </c>
      <c r="I17" s="13" t="s">
        <v>210</v>
      </c>
      <c r="J17" s="13" t="s">
        <v>211</v>
      </c>
      <c r="K17" s="18" t="n">
        <v>46348.6145833333</v>
      </c>
      <c r="L17" s="13" t="s">
        <v>91</v>
      </c>
      <c r="M17" s="15" t="n">
        <f aca="false">IF(A17="","",COUNTIFS(Quotes!$B$2:$B$301,A17,Quotes!$G$2:$G$301,"Y"))</f>
        <v>1</v>
      </c>
      <c r="N17" s="17" t="n">
        <f aca="false">IF(A17="","",IF(M17=0,"",_xlfn.MINIFS(Quotes!$F$2:$F$301,Quotes!$B$2:$B$301,A17,Quotes!$G$2:$G$301,"Y")))</f>
        <v>2.4970822386675</v>
      </c>
      <c r="O17" s="16" t="b">
        <f aca="false">IF(A17="","",AND(E17,G17="Y"))</f>
        <v>1</v>
      </c>
      <c r="P17" s="17" t="n">
        <f aca="false">IF(A17="","",IF(AND(O17,N17&lt;&gt;""),N17,""))</f>
        <v>2.4970822386675</v>
      </c>
      <c r="Q17" s="16" t="b">
        <f aca="false">IF(A17="","",COUNTIF(Picks!$A$2:$A$301,A17)&gt;0)</f>
        <v>0</v>
      </c>
      <c r="R17" s="13" t="n">
        <v>35</v>
      </c>
      <c r="S17" s="13" t="s">
        <v>212</v>
      </c>
      <c r="T17" s="16" t="b">
        <f aca="false">IF(A17="","",COUNTIF(Nudges!$C$2:$C$301,A17)&gt;0)</f>
        <v>0</v>
      </c>
      <c r="U17" s="8"/>
      <c r="V17" s="8"/>
    </row>
    <row r="18" customFormat="false" ht="15" hidden="false" customHeight="false" outlineLevel="0" collapsed="false">
      <c r="A18" s="13" t="s">
        <v>213</v>
      </c>
      <c r="B18" s="18" t="n">
        <v>46348.4375</v>
      </c>
      <c r="C18" s="15" t="n">
        <f aca="false">IF(B18="","",INT((B18-Settings!$B$2)/7)+1)</f>
        <v>3</v>
      </c>
      <c r="D18" s="13" t="s">
        <v>27</v>
      </c>
      <c r="E18" s="16" t="b">
        <f aca="false">IF(A18="","",OR(D18=Settings!$B$3,AND(Settings!$B$4&lt;&gt;"",D18=Settings!$B$4)))</f>
        <v>1</v>
      </c>
      <c r="F18" s="13" t="s">
        <v>158</v>
      </c>
      <c r="G18" s="13" t="s">
        <v>76</v>
      </c>
      <c r="H18" s="13" t="s">
        <v>214</v>
      </c>
      <c r="I18" s="13" t="s">
        <v>215</v>
      </c>
      <c r="J18" s="13" t="s">
        <v>216</v>
      </c>
      <c r="K18" s="18" t="n">
        <v>46348.4791666667</v>
      </c>
      <c r="L18" s="13" t="s">
        <v>76</v>
      </c>
      <c r="M18" s="15" t="n">
        <f aca="false">IF(A18="","",COUNTIFS(Quotes!$B$2:$B$301,A18,Quotes!$G$2:$G$301,"Y"))</f>
        <v>2</v>
      </c>
      <c r="N18" s="17" t="n">
        <f aca="false">IF(A18="","",IF(M18=0,"",_xlfn.MINIFS(Quotes!$F$2:$F$301,Quotes!$B$2:$B$301,A18,Quotes!$G$2:$G$301,"Y")))</f>
        <v>1.43750911345694</v>
      </c>
      <c r="O18" s="16" t="b">
        <f aca="false">IF(A18="","",AND(E18,G18="Y"))</f>
        <v>1</v>
      </c>
      <c r="P18" s="17" t="n">
        <f aca="false">IF(A18="","",IF(AND(O18,N18&lt;&gt;""),N18,""))</f>
        <v>1.43750911345694</v>
      </c>
      <c r="Q18" s="16" t="b">
        <f aca="false">IF(A18="","",COUNTIF(Picks!$A$2:$A$301,A18)&gt;0)</f>
        <v>1</v>
      </c>
      <c r="R18" s="13" t="n">
        <v>20</v>
      </c>
      <c r="S18" s="13"/>
      <c r="T18" s="16" t="b">
        <f aca="false">IF(A18="","",COUNTIF(Nudges!$C$2:$C$301,A18)&gt;0)</f>
        <v>1</v>
      </c>
      <c r="U18" s="8"/>
      <c r="V18" s="8"/>
    </row>
    <row r="19" customFormat="false" ht="15" hidden="false" customHeight="false" outlineLevel="0" collapsed="false">
      <c r="A19" s="13" t="s">
        <v>217</v>
      </c>
      <c r="B19" s="18" t="n">
        <v>46349.7395833333</v>
      </c>
      <c r="C19" s="15" t="n">
        <f aca="false">IF(B19="","",INT((B19-Settings!$B$2)/7)+1)</f>
        <v>4</v>
      </c>
      <c r="D19" s="13" t="s">
        <v>27</v>
      </c>
      <c r="E19" s="16" t="b">
        <f aca="false">IF(A19="","",OR(D19=Settings!$B$3,AND(Settings!$B$4&lt;&gt;"",D19=Settings!$B$4)))</f>
        <v>1</v>
      </c>
      <c r="F19" s="13" t="s">
        <v>142</v>
      </c>
      <c r="G19" s="13" t="s">
        <v>76</v>
      </c>
      <c r="H19" s="13" t="s">
        <v>218</v>
      </c>
      <c r="I19" s="13" t="s">
        <v>219</v>
      </c>
      <c r="J19" s="13" t="s">
        <v>220</v>
      </c>
      <c r="K19" s="18" t="n">
        <v>46349.78125</v>
      </c>
      <c r="L19" s="13" t="s">
        <v>76</v>
      </c>
      <c r="M19" s="15" t="n">
        <f aca="false">IF(A19="","",COUNTIFS(Quotes!$B$2:$B$301,A19,Quotes!$G$2:$G$301,"Y"))</f>
        <v>3</v>
      </c>
      <c r="N19" s="17" t="n">
        <f aca="false">IF(A19="","",IF(M19=0,"",_xlfn.MINIFS(Quotes!$F$2:$F$301,Quotes!$B$2:$B$301,A19,Quotes!$G$2:$G$301,"Y")))</f>
        <v>1.09978590533111</v>
      </c>
      <c r="O19" s="16" t="b">
        <f aca="false">IF(A19="","",AND(E19,G19="Y"))</f>
        <v>1</v>
      </c>
      <c r="P19" s="17" t="n">
        <f aca="false">IF(A19="","",IF(AND(O19,N19&lt;&gt;""),N19,""))</f>
        <v>1.09978590533111</v>
      </c>
      <c r="Q19" s="16" t="b">
        <f aca="false">IF(A19="","",COUNTIF(Picks!$A$2:$A$301,A19)&gt;0)</f>
        <v>1</v>
      </c>
      <c r="R19" s="13" t="n">
        <v>15</v>
      </c>
      <c r="S19" s="13"/>
      <c r="T19" s="16" t="b">
        <f aca="false">IF(A19="","",COUNTIF(Nudges!$C$2:$C$301,A19)&gt;0)</f>
        <v>0</v>
      </c>
      <c r="U19" s="8"/>
      <c r="V19" s="8"/>
    </row>
    <row r="20" customFormat="false" ht="15" hidden="false" customHeight="false" outlineLevel="0" collapsed="false">
      <c r="A20" s="13" t="s">
        <v>221</v>
      </c>
      <c r="B20" s="18" t="n">
        <v>46352.7291666667</v>
      </c>
      <c r="C20" s="15" t="n">
        <f aca="false">IF(B20="","",INT((B20-Settings!$B$2)/7)+1)</f>
        <v>4</v>
      </c>
      <c r="D20" s="13" t="s">
        <v>115</v>
      </c>
      <c r="E20" s="16" t="b">
        <f aca="false">IF(A20="","",OR(D20=Settings!$B$3,AND(Settings!$B$4&lt;&gt;"",D20=Settings!$B$4)))</f>
        <v>0</v>
      </c>
      <c r="F20" s="13" t="s">
        <v>142</v>
      </c>
      <c r="G20" s="13" t="s">
        <v>76</v>
      </c>
      <c r="H20" s="13" t="s">
        <v>222</v>
      </c>
      <c r="I20" s="13" t="s">
        <v>223</v>
      </c>
      <c r="J20" s="13" t="s">
        <v>224</v>
      </c>
      <c r="K20" s="18" t="n">
        <v>46352.7708333333</v>
      </c>
      <c r="L20" s="13" t="s">
        <v>91</v>
      </c>
      <c r="M20" s="15" t="n">
        <f aca="false">IF(A20="","",COUNTIFS(Quotes!$B$2:$B$301,A20,Quotes!$G$2:$G$301,"Y"))</f>
        <v>0</v>
      </c>
      <c r="N20" s="17" t="str">
        <f aca="false">IF(A20="","",IF(M20=0,"",_xlfn.MINIFS(Quotes!$F$2:$F$301,Quotes!$B$2:$B$301,A20,Quotes!$G$2:$G$301,"Y")))</f>
        <v/>
      </c>
      <c r="O20" s="16" t="b">
        <f aca="false">IF(A20="","",AND(E20,G20="Y"))</f>
        <v>0</v>
      </c>
      <c r="P20" s="17" t="str">
        <f aca="false">IF(A20="","",IF(AND(O20,N20&lt;&gt;""),N20,""))</f>
        <v/>
      </c>
      <c r="Q20" s="16" t="b">
        <f aca="false">IF(A20="","",COUNTIF(Picks!$A$2:$A$301,A20)&gt;0)</f>
        <v>0</v>
      </c>
      <c r="R20" s="13" t="n">
        <v>25</v>
      </c>
      <c r="S20" s="13"/>
      <c r="T20" s="16" t="b">
        <f aca="false">IF(A20="","",COUNTIF(Nudges!$C$2:$C$301,A20)&gt;0)</f>
        <v>0</v>
      </c>
      <c r="U20" s="8"/>
      <c r="V20" s="8"/>
    </row>
    <row r="21" customFormat="false" ht="15" hidden="false" customHeight="false" outlineLevel="0" collapsed="false">
      <c r="A21" s="13" t="s">
        <v>225</v>
      </c>
      <c r="B21" s="18" t="n">
        <v>46353.4583333333</v>
      </c>
      <c r="C21" s="15" t="n">
        <f aca="false">IF(B21="","",INT((B21-Settings!$B$2)/7)+1)</f>
        <v>4</v>
      </c>
      <c r="D21" s="13" t="s">
        <v>115</v>
      </c>
      <c r="E21" s="16" t="b">
        <f aca="false">IF(A21="","",OR(D21=Settings!$B$3,AND(Settings!$B$4&lt;&gt;"",D21=Settings!$B$4)))</f>
        <v>0</v>
      </c>
      <c r="F21" s="13" t="s">
        <v>142</v>
      </c>
      <c r="G21" s="13" t="s">
        <v>76</v>
      </c>
      <c r="H21" s="13" t="s">
        <v>226</v>
      </c>
      <c r="I21" s="13" t="s">
        <v>227</v>
      </c>
      <c r="J21" s="13" t="s">
        <v>228</v>
      </c>
      <c r="K21" s="18" t="n">
        <v>46353.5416666667</v>
      </c>
      <c r="L21" s="13" t="s">
        <v>76</v>
      </c>
      <c r="M21" s="15" t="n">
        <f aca="false">IF(A21="","",COUNTIFS(Quotes!$B$2:$B$301,A21,Quotes!$G$2:$G$301,"Y"))</f>
        <v>1</v>
      </c>
      <c r="N21" s="17" t="n">
        <f aca="false">IF(A21="","",IF(M21=0,"",_xlfn.MINIFS(Quotes!$F$2:$F$301,Quotes!$B$2:$B$301,A21,Quotes!$G$2:$G$301,"Y")))</f>
        <v>8.03788511641306</v>
      </c>
      <c r="O21" s="16" t="b">
        <f aca="false">IF(A21="","",AND(E21,G21="Y"))</f>
        <v>0</v>
      </c>
      <c r="P21" s="17" t="str">
        <f aca="false">IF(A21="","",IF(AND(O21,N21&lt;&gt;""),N21,""))</f>
        <v/>
      </c>
      <c r="Q21" s="16" t="b">
        <f aca="false">IF(A21="","",COUNTIF(Picks!$A$2:$A$301,A21)&gt;0)</f>
        <v>1</v>
      </c>
      <c r="R21" s="13" t="n">
        <v>15</v>
      </c>
      <c r="S21" s="13"/>
      <c r="T21" s="16" t="b">
        <f aca="false">IF(A21="","",COUNTIF(Nudges!$C$2:$C$301,A21)&gt;0)</f>
        <v>0</v>
      </c>
      <c r="U21" s="8"/>
      <c r="V21" s="8"/>
    </row>
    <row r="22" customFormat="false" ht="15" hidden="false" customHeight="false" outlineLevel="0" collapsed="false">
      <c r="A22" s="13" t="s">
        <v>229</v>
      </c>
      <c r="B22" s="18" t="n">
        <v>46353.4270833333</v>
      </c>
      <c r="C22" s="15" t="n">
        <f aca="false">IF(B22="","",INT((B22-Settings!$B$2)/7)+1)</f>
        <v>4</v>
      </c>
      <c r="D22" s="13" t="s">
        <v>27</v>
      </c>
      <c r="E22" s="16" t="b">
        <f aca="false">IF(A22="","",OR(D22=Settings!$B$3,AND(Settings!$B$4&lt;&gt;"",D22=Settings!$B$4)))</f>
        <v>1</v>
      </c>
      <c r="F22" s="13" t="s">
        <v>158</v>
      </c>
      <c r="G22" s="13" t="s">
        <v>76</v>
      </c>
      <c r="H22" s="13" t="s">
        <v>230</v>
      </c>
      <c r="I22" s="13" t="s">
        <v>231</v>
      </c>
      <c r="J22" s="13" t="s">
        <v>232</v>
      </c>
      <c r="K22" s="18" t="n">
        <v>46353.5520833333</v>
      </c>
      <c r="L22" s="13" t="s">
        <v>76</v>
      </c>
      <c r="M22" s="15" t="n">
        <f aca="false">IF(A22="","",COUNTIFS(Quotes!$B$2:$B$301,A22,Quotes!$G$2:$G$301,"Y"))</f>
        <v>3</v>
      </c>
      <c r="N22" s="17" t="n">
        <f aca="false">IF(A22="","",IF(M22=0,"",_xlfn.MINIFS(Quotes!$F$2:$F$301,Quotes!$B$2:$B$301,A22,Quotes!$G$2:$G$301,"Y")))</f>
        <v>3.62490407726722</v>
      </c>
      <c r="O22" s="16" t="b">
        <f aca="false">IF(A22="","",AND(E22,G22="Y"))</f>
        <v>1</v>
      </c>
      <c r="P22" s="17" t="n">
        <f aca="false">IF(A22="","",IF(AND(O22,N22&lt;&gt;""),N22,""))</f>
        <v>3.62490407726722</v>
      </c>
      <c r="Q22" s="16" t="b">
        <f aca="false">IF(A22="","",COUNTIF(Picks!$A$2:$A$301,A22)&gt;0)</f>
        <v>1</v>
      </c>
      <c r="R22" s="13" t="n">
        <v>25</v>
      </c>
      <c r="S22" s="13"/>
      <c r="T22" s="16" t="b">
        <f aca="false">IF(A22="","",COUNTIF(Nudges!$C$2:$C$301,A22)&gt;0)</f>
        <v>0</v>
      </c>
      <c r="U22" s="8"/>
      <c r="V22" s="8"/>
    </row>
    <row r="23" customFormat="false" ht="15" hidden="false" customHeight="false" outlineLevel="0" collapsed="false">
      <c r="A23" s="13" t="s">
        <v>233</v>
      </c>
      <c r="B23" s="18" t="n">
        <v>46354.7916666667</v>
      </c>
      <c r="C23" s="15" t="n">
        <f aca="false">IF(B23="","",INT((B23-Settings!$B$2)/7)+1)</f>
        <v>4</v>
      </c>
      <c r="D23" s="13" t="s">
        <v>27</v>
      </c>
      <c r="E23" s="16" t="b">
        <f aca="false">IF(A23="","",OR(D23=Settings!$B$3,AND(Settings!$B$4&lt;&gt;"",D23=Settings!$B$4)))</f>
        <v>1</v>
      </c>
      <c r="F23" s="13" t="s">
        <v>158</v>
      </c>
      <c r="G23" s="13" t="s">
        <v>76</v>
      </c>
      <c r="H23" s="13" t="s">
        <v>234</v>
      </c>
      <c r="I23" s="13" t="s">
        <v>235</v>
      </c>
      <c r="J23" s="13" t="s">
        <v>236</v>
      </c>
      <c r="K23" s="18" t="n">
        <v>46354.9166666667</v>
      </c>
      <c r="L23" s="13" t="s">
        <v>76</v>
      </c>
      <c r="M23" s="15" t="n">
        <f aca="false">IF(A23="","",COUNTIFS(Quotes!$B$2:$B$301,A23,Quotes!$G$2:$G$301,"Y"))</f>
        <v>4</v>
      </c>
      <c r="N23" s="17" t="n">
        <f aca="false">IF(A23="","",IF(M23=0,"",_xlfn.MINIFS(Quotes!$F$2:$F$301,Quotes!$B$2:$B$301,A23,Quotes!$G$2:$G$301,"Y")))</f>
        <v>2.77476298017417</v>
      </c>
      <c r="O23" s="16" t="b">
        <f aca="false">IF(A23="","",AND(E23,G23="Y"))</f>
        <v>1</v>
      </c>
      <c r="P23" s="17" t="n">
        <f aca="false">IF(A23="","",IF(AND(O23,N23&lt;&gt;""),N23,""))</f>
        <v>2.77476298017417</v>
      </c>
      <c r="Q23" s="16" t="b">
        <f aca="false">IF(A23="","",COUNTIF(Picks!$A$2:$A$301,A23)&gt;0)</f>
        <v>0</v>
      </c>
      <c r="R23" s="13" t="n">
        <v>25</v>
      </c>
      <c r="S23" s="13" t="s">
        <v>146</v>
      </c>
      <c r="T23" s="16" t="b">
        <f aca="false">IF(A23="","",COUNTIF(Nudges!$C$2:$C$301,A23)&gt;0)</f>
        <v>0</v>
      </c>
      <c r="U23" s="8"/>
      <c r="V23" s="8"/>
    </row>
    <row r="24" customFormat="false" ht="15" hidden="false" customHeight="false" outlineLevel="0" collapsed="false">
      <c r="A24" s="13" t="s">
        <v>237</v>
      </c>
      <c r="B24" s="18" t="n">
        <v>46357.6354166667</v>
      </c>
      <c r="C24" s="15" t="n">
        <f aca="false">IF(B24="","",INT((B24-Settings!$B$2)/7)+1)</f>
        <v>5</v>
      </c>
      <c r="D24" s="13" t="s">
        <v>179</v>
      </c>
      <c r="E24" s="16" t="b">
        <f aca="false">IF(A24="","",OR(D24=Settings!$B$3,AND(Settings!$B$4&lt;&gt;"",D24=Settings!$B$4)))</f>
        <v>0</v>
      </c>
      <c r="F24" s="13" t="s">
        <v>158</v>
      </c>
      <c r="G24" s="13" t="s">
        <v>91</v>
      </c>
      <c r="H24" s="13" t="s">
        <v>238</v>
      </c>
      <c r="I24" s="13" t="s">
        <v>239</v>
      </c>
      <c r="J24" s="13" t="s">
        <v>240</v>
      </c>
      <c r="K24" s="18"/>
      <c r="L24" s="13"/>
      <c r="M24" s="15" t="n">
        <f aca="false">IF(A24="","",COUNTIFS(Quotes!$B$2:$B$301,A24,Quotes!$G$2:$G$301,"Y"))</f>
        <v>0</v>
      </c>
      <c r="N24" s="17" t="str">
        <f aca="false">IF(A24="","",IF(M24=0,"",_xlfn.MINIFS(Quotes!$F$2:$F$301,Quotes!$B$2:$B$301,A24,Quotes!$G$2:$G$301,"Y")))</f>
        <v/>
      </c>
      <c r="O24" s="16" t="b">
        <f aca="false">IF(A24="","",AND(E24,G24="Y"))</f>
        <v>0</v>
      </c>
      <c r="P24" s="17" t="str">
        <f aca="false">IF(A24="","",IF(AND(O24,N24&lt;&gt;""),N24,""))</f>
        <v/>
      </c>
      <c r="Q24" s="16" t="b">
        <f aca="false">IF(A24="","",COUNTIF(Picks!$A$2:$A$301,A24)&gt;0)</f>
        <v>0</v>
      </c>
      <c r="R24" s="13" t="n">
        <v>20</v>
      </c>
      <c r="S24" s="13" t="s">
        <v>183</v>
      </c>
      <c r="T24" s="16" t="b">
        <f aca="false">IF(A24="","",COUNTIF(Nudges!$C$2:$C$301,A24)&gt;0)</f>
        <v>0</v>
      </c>
      <c r="U24" s="8"/>
      <c r="V24" s="8"/>
    </row>
    <row r="25" customFormat="false" ht="15" hidden="false" customHeight="false" outlineLevel="0" collapsed="false">
      <c r="A25" s="13" t="s">
        <v>241</v>
      </c>
      <c r="B25" s="18" t="n">
        <v>46357.75</v>
      </c>
      <c r="C25" s="15" t="n">
        <f aca="false">IF(B25="","",INT((B25-Settings!$B$2)/7)+1)</f>
        <v>5</v>
      </c>
      <c r="D25" s="13" t="s">
        <v>25</v>
      </c>
      <c r="E25" s="16" t="b">
        <f aca="false">IF(A25="","",OR(D25=Settings!$B$3,AND(Settings!$B$4&lt;&gt;"",D25=Settings!$B$4)))</f>
        <v>1</v>
      </c>
      <c r="F25" s="13" t="s">
        <v>148</v>
      </c>
      <c r="G25" s="13" t="s">
        <v>76</v>
      </c>
      <c r="H25" s="13" t="s">
        <v>242</v>
      </c>
      <c r="I25" s="13" t="s">
        <v>243</v>
      </c>
      <c r="J25" s="13" t="s">
        <v>244</v>
      </c>
      <c r="K25" s="18" t="n">
        <v>46357.7916666667</v>
      </c>
      <c r="L25" s="13" t="s">
        <v>91</v>
      </c>
      <c r="M25" s="15" t="n">
        <f aca="false">IF(A25="","",COUNTIFS(Quotes!$B$2:$B$301,A25,Quotes!$G$2:$G$301,"Y"))</f>
        <v>1</v>
      </c>
      <c r="N25" s="17" t="n">
        <f aca="false">IF(A25="","",IF(M25=0,"",_xlfn.MINIFS(Quotes!$F$2:$F$301,Quotes!$B$2:$B$301,A25,Quotes!$G$2:$G$301,"Y")))</f>
        <v>2.28060523804722</v>
      </c>
      <c r="O25" s="16" t="b">
        <f aca="false">IF(A25="","",AND(E25,G25="Y"))</f>
        <v>1</v>
      </c>
      <c r="P25" s="17" t="n">
        <f aca="false">IF(A25="","",IF(AND(O25,N25&lt;&gt;""),N25,""))</f>
        <v>2.28060523804722</v>
      </c>
      <c r="Q25" s="16" t="b">
        <f aca="false">IF(A25="","",COUNTIF(Picks!$A$2:$A$301,A25)&gt;0)</f>
        <v>1</v>
      </c>
      <c r="R25" s="13" t="n">
        <v>25</v>
      </c>
      <c r="S25" s="13"/>
      <c r="T25" s="16" t="b">
        <f aca="false">IF(A25="","",COUNTIF(Nudges!$C$2:$C$301,A25)&gt;0)</f>
        <v>0</v>
      </c>
      <c r="U25" s="8"/>
      <c r="V25" s="8"/>
    </row>
    <row r="26" customFormat="false" ht="15" hidden="false" customHeight="false" outlineLevel="0" collapsed="false">
      <c r="A26" s="13" t="s">
        <v>245</v>
      </c>
      <c r="B26" s="18" t="n">
        <v>46358.6458333333</v>
      </c>
      <c r="C26" s="15" t="n">
        <f aca="false">IF(B26="","",INT((B26-Settings!$B$2)/7)+1)</f>
        <v>5</v>
      </c>
      <c r="D26" s="13" t="s">
        <v>27</v>
      </c>
      <c r="E26" s="16" t="b">
        <f aca="false">IF(A26="","",OR(D26=Settings!$B$3,AND(Settings!$B$4&lt;&gt;"",D26=Settings!$B$4)))</f>
        <v>1</v>
      </c>
      <c r="F26" s="13" t="s">
        <v>158</v>
      </c>
      <c r="G26" s="13" t="s">
        <v>76</v>
      </c>
      <c r="H26" s="13" t="s">
        <v>246</v>
      </c>
      <c r="I26" s="13" t="s">
        <v>247</v>
      </c>
      <c r="J26" s="13" t="s">
        <v>248</v>
      </c>
      <c r="K26" s="18" t="n">
        <v>46358.7291666667</v>
      </c>
      <c r="L26" s="13" t="s">
        <v>91</v>
      </c>
      <c r="M26" s="15" t="n">
        <f aca="false">IF(A26="","",COUNTIFS(Quotes!$B$2:$B$301,A26,Quotes!$G$2:$G$301,"Y"))</f>
        <v>4</v>
      </c>
      <c r="N26" s="17" t="n">
        <f aca="false">IF(A26="","",IF(M26=0,"",_xlfn.MINIFS(Quotes!$F$2:$F$301,Quotes!$B$2:$B$301,A26,Quotes!$G$2:$G$301,"Y")))</f>
        <v>2.86009610473389</v>
      </c>
      <c r="O26" s="16" t="b">
        <f aca="false">IF(A26="","",AND(E26,G26="Y"))</f>
        <v>1</v>
      </c>
      <c r="P26" s="17" t="n">
        <f aca="false">IF(A26="","",IF(AND(O26,N26&lt;&gt;""),N26,""))</f>
        <v>2.86009610473389</v>
      </c>
      <c r="Q26" s="16" t="b">
        <f aca="false">IF(A26="","",COUNTIF(Picks!$A$2:$A$301,A26)&gt;0)</f>
        <v>0</v>
      </c>
      <c r="R26" s="13" t="n">
        <v>15</v>
      </c>
      <c r="S26" s="13" t="s">
        <v>156</v>
      </c>
      <c r="T26" s="16" t="b">
        <f aca="false">IF(A26="","",COUNTIF(Nudges!$C$2:$C$301,A26)&gt;0)</f>
        <v>0</v>
      </c>
      <c r="U26" s="8"/>
      <c r="V26" s="8"/>
    </row>
    <row r="27" customFormat="false" ht="15" hidden="false" customHeight="false" outlineLevel="0" collapsed="false">
      <c r="A27" s="13" t="s">
        <v>249</v>
      </c>
      <c r="B27" s="18" t="n">
        <v>46361.6666666667</v>
      </c>
      <c r="C27" s="15" t="n">
        <f aca="false">IF(B27="","",INT((B27-Settings!$B$2)/7)+1)</f>
        <v>5</v>
      </c>
      <c r="D27" s="13" t="s">
        <v>25</v>
      </c>
      <c r="E27" s="16" t="b">
        <f aca="false">IF(A27="","",OR(D27=Settings!$B$3,AND(Settings!$B$4&lt;&gt;"",D27=Settings!$B$4)))</f>
        <v>1</v>
      </c>
      <c r="F27" s="13" t="s">
        <v>148</v>
      </c>
      <c r="G27" s="13" t="s">
        <v>76</v>
      </c>
      <c r="H27" s="13" t="s">
        <v>250</v>
      </c>
      <c r="I27" s="13" t="s">
        <v>251</v>
      </c>
      <c r="J27" s="13" t="s">
        <v>252</v>
      </c>
      <c r="K27" s="18" t="n">
        <v>46361.7916666667</v>
      </c>
      <c r="L27" s="13" t="s">
        <v>91</v>
      </c>
      <c r="M27" s="15" t="n">
        <f aca="false">IF(A27="","",COUNTIFS(Quotes!$B$2:$B$301,A27,Quotes!$G$2:$G$301,"Y"))</f>
        <v>1</v>
      </c>
      <c r="N27" s="17" t="n">
        <f aca="false">IF(A27="","",IF(M27=0,"",_xlfn.MINIFS(Quotes!$F$2:$F$301,Quotes!$B$2:$B$301,A27,Quotes!$G$2:$G$301,"Y")))</f>
        <v>9.90996223571695</v>
      </c>
      <c r="O27" s="16" t="b">
        <f aca="false">IF(A27="","",AND(E27,G27="Y"))</f>
        <v>1</v>
      </c>
      <c r="P27" s="17" t="n">
        <f aca="false">IF(A27="","",IF(AND(O27,N27&lt;&gt;""),N27,""))</f>
        <v>9.90996223571695</v>
      </c>
      <c r="Q27" s="16" t="b">
        <f aca="false">IF(A27="","",COUNTIF(Picks!$A$2:$A$301,A27)&gt;0)</f>
        <v>0</v>
      </c>
      <c r="R27" s="13" t="n">
        <v>20</v>
      </c>
      <c r="S27" s="13" t="s">
        <v>146</v>
      </c>
      <c r="T27" s="16" t="b">
        <f aca="false">IF(A27="","",COUNTIF(Nudges!$C$2:$C$301,A27)&gt;0)</f>
        <v>0</v>
      </c>
      <c r="U27" s="8"/>
      <c r="V27" s="8"/>
    </row>
    <row r="28" customFormat="false" ht="15" hidden="false" customHeight="false" outlineLevel="0" collapsed="false">
      <c r="A28" s="13" t="s">
        <v>253</v>
      </c>
      <c r="B28" s="18" t="n">
        <v>46362.6979166667</v>
      </c>
      <c r="C28" s="15" t="n">
        <f aca="false">IF(B28="","",INT((B28-Settings!$B$2)/7)+1)</f>
        <v>5</v>
      </c>
      <c r="D28" s="13" t="s">
        <v>27</v>
      </c>
      <c r="E28" s="16" t="b">
        <f aca="false">IF(A28="","",OR(D28=Settings!$B$3,AND(Settings!$B$4&lt;&gt;"",D28=Settings!$B$4)))</f>
        <v>1</v>
      </c>
      <c r="F28" s="13" t="s">
        <v>158</v>
      </c>
      <c r="G28" s="13" t="s">
        <v>76</v>
      </c>
      <c r="H28" s="13" t="s">
        <v>254</v>
      </c>
      <c r="I28" s="13" t="s">
        <v>255</v>
      </c>
      <c r="J28" s="13" t="s">
        <v>256</v>
      </c>
      <c r="K28" s="18" t="n">
        <v>46362.7395833333</v>
      </c>
      <c r="L28" s="13" t="s">
        <v>91</v>
      </c>
      <c r="M28" s="15" t="n">
        <f aca="false">IF(A28="","",COUNTIFS(Quotes!$B$2:$B$301,A28,Quotes!$G$2:$G$301,"Y"))</f>
        <v>0</v>
      </c>
      <c r="N28" s="17" t="str">
        <f aca="false">IF(A28="","",IF(M28=0,"",_xlfn.MINIFS(Quotes!$F$2:$F$301,Quotes!$B$2:$B$301,A28,Quotes!$G$2:$G$301,"Y")))</f>
        <v/>
      </c>
      <c r="O28" s="16" t="b">
        <f aca="false">IF(A28="","",AND(E28,G28="Y"))</f>
        <v>1</v>
      </c>
      <c r="P28" s="17" t="str">
        <f aca="false">IF(A28="","",IF(AND(O28,N28&lt;&gt;""),N28,""))</f>
        <v/>
      </c>
      <c r="Q28" s="16" t="b">
        <f aca="false">IF(A28="","",COUNTIF(Picks!$A$2:$A$301,A28)&gt;0)</f>
        <v>0</v>
      </c>
      <c r="R28" s="13" t="n">
        <v>20</v>
      </c>
      <c r="S28" s="13"/>
      <c r="T28" s="16" t="b">
        <f aca="false">IF(A28="","",COUNTIF(Nudges!$C$2:$C$301,A28)&gt;0)</f>
        <v>0</v>
      </c>
      <c r="U28" s="8"/>
      <c r="V28" s="8"/>
    </row>
    <row r="29" customFormat="false" ht="15" hidden="false" customHeight="false" outlineLevel="0" collapsed="false">
      <c r="A29" s="13" t="s">
        <v>257</v>
      </c>
      <c r="B29" s="18" t="n">
        <v>46362.5833333333</v>
      </c>
      <c r="C29" s="15" t="n">
        <f aca="false">IF(B29="","",INT((B29-Settings!$B$2)/7)+1)</f>
        <v>5</v>
      </c>
      <c r="D29" s="13" t="s">
        <v>27</v>
      </c>
      <c r="E29" s="16" t="b">
        <f aca="false">IF(A29="","",OR(D29=Settings!$B$3,AND(Settings!$B$4&lt;&gt;"",D29=Settings!$B$4)))</f>
        <v>1</v>
      </c>
      <c r="F29" s="13" t="s">
        <v>148</v>
      </c>
      <c r="G29" s="13" t="s">
        <v>76</v>
      </c>
      <c r="H29" s="13" t="s">
        <v>258</v>
      </c>
      <c r="I29" s="13" t="s">
        <v>259</v>
      </c>
      <c r="J29" s="13" t="s">
        <v>260</v>
      </c>
      <c r="K29" s="18" t="n">
        <v>46362.6666666667</v>
      </c>
      <c r="L29" s="13" t="s">
        <v>91</v>
      </c>
      <c r="M29" s="15" t="n">
        <f aca="false">IF(A29="","",COUNTIFS(Quotes!$B$2:$B$301,A29,Quotes!$G$2:$G$301,"Y"))</f>
        <v>2</v>
      </c>
      <c r="N29" s="17" t="n">
        <f aca="false">IF(A29="","",IF(M29=0,"",_xlfn.MINIFS(Quotes!$F$2:$F$301,Quotes!$B$2:$B$301,A29,Quotes!$G$2:$G$301,"Y")))</f>
        <v>3.89718500711</v>
      </c>
      <c r="O29" s="16" t="b">
        <f aca="false">IF(A29="","",AND(E29,G29="Y"))</f>
        <v>1</v>
      </c>
      <c r="P29" s="17" t="n">
        <f aca="false">IF(A29="","",IF(AND(O29,N29&lt;&gt;""),N29,""))</f>
        <v>3.89718500711</v>
      </c>
      <c r="Q29" s="16" t="b">
        <f aca="false">IF(A29="","",COUNTIF(Picks!$A$2:$A$301,A29)&gt;0)</f>
        <v>1</v>
      </c>
      <c r="R29" s="13" t="n">
        <v>25</v>
      </c>
      <c r="S29" s="13"/>
      <c r="T29" s="16" t="b">
        <f aca="false">IF(A29="","",COUNTIF(Nudges!$C$2:$C$301,A29)&gt;0)</f>
        <v>0</v>
      </c>
      <c r="U29" s="8"/>
      <c r="V29" s="8"/>
    </row>
    <row r="30" customFormat="false" ht="15" hidden="false" customHeight="false" outlineLevel="0" collapsed="false">
      <c r="A30" s="13" t="s">
        <v>261</v>
      </c>
      <c r="B30" s="18" t="n">
        <v>46363.4583333333</v>
      </c>
      <c r="C30" s="15" t="n">
        <f aca="false">IF(B30="","",INT((B30-Settings!$B$2)/7)+1)</f>
        <v>6</v>
      </c>
      <c r="D30" s="13" t="s">
        <v>179</v>
      </c>
      <c r="E30" s="16" t="b">
        <f aca="false">IF(A30="","",OR(D30=Settings!$B$3,AND(Settings!$B$4&lt;&gt;"",D30=Settings!$B$4)))</f>
        <v>0</v>
      </c>
      <c r="F30" s="13" t="s">
        <v>158</v>
      </c>
      <c r="G30" s="13" t="s">
        <v>91</v>
      </c>
      <c r="H30" s="13" t="s">
        <v>262</v>
      </c>
      <c r="I30" s="13" t="s">
        <v>263</v>
      </c>
      <c r="J30" s="13" t="s">
        <v>264</v>
      </c>
      <c r="K30" s="18"/>
      <c r="L30" s="13"/>
      <c r="M30" s="15" t="n">
        <f aca="false">IF(A30="","",COUNTIFS(Quotes!$B$2:$B$301,A30,Quotes!$G$2:$G$301,"Y"))</f>
        <v>0</v>
      </c>
      <c r="N30" s="17" t="str">
        <f aca="false">IF(A30="","",IF(M30=0,"",_xlfn.MINIFS(Quotes!$F$2:$F$301,Quotes!$B$2:$B$301,A30,Quotes!$G$2:$G$301,"Y")))</f>
        <v/>
      </c>
      <c r="O30" s="16" t="b">
        <f aca="false">IF(A30="","",AND(E30,G30="Y"))</f>
        <v>0</v>
      </c>
      <c r="P30" s="17" t="str">
        <f aca="false">IF(A30="","",IF(AND(O30,N30&lt;&gt;""),N30,""))</f>
        <v/>
      </c>
      <c r="Q30" s="16" t="b">
        <f aca="false">IF(A30="","",COUNTIF(Picks!$A$2:$A$301,A30)&gt;0)</f>
        <v>0</v>
      </c>
      <c r="R30" s="13" t="n">
        <v>30</v>
      </c>
      <c r="S30" s="13" t="s">
        <v>183</v>
      </c>
      <c r="T30" s="16" t="b">
        <f aca="false">IF(A30="","",COUNTIF(Nudges!$C$2:$C$301,A30)&gt;0)</f>
        <v>0</v>
      </c>
      <c r="U30" s="8"/>
      <c r="V30" s="8"/>
    </row>
    <row r="31" customFormat="false" ht="15" hidden="false" customHeight="false" outlineLevel="0" collapsed="false">
      <c r="A31" s="13" t="s">
        <v>265</v>
      </c>
      <c r="B31" s="18" t="n">
        <v>46366.78125</v>
      </c>
      <c r="C31" s="15" t="n">
        <f aca="false">IF(B31="","",INT((B31-Settings!$B$2)/7)+1)</f>
        <v>6</v>
      </c>
      <c r="D31" s="13" t="s">
        <v>25</v>
      </c>
      <c r="E31" s="16" t="b">
        <f aca="false">IF(A31="","",OR(D31=Settings!$B$3,AND(Settings!$B$4&lt;&gt;"",D31=Settings!$B$4)))</f>
        <v>1</v>
      </c>
      <c r="F31" s="13" t="s">
        <v>158</v>
      </c>
      <c r="G31" s="13" t="s">
        <v>76</v>
      </c>
      <c r="H31" s="13" t="s">
        <v>266</v>
      </c>
      <c r="I31" s="13" t="s">
        <v>267</v>
      </c>
      <c r="J31" s="13" t="s">
        <v>268</v>
      </c>
      <c r="K31" s="18" t="n">
        <v>46366.8229166667</v>
      </c>
      <c r="L31" s="13" t="s">
        <v>91</v>
      </c>
      <c r="M31" s="15" t="n">
        <f aca="false">IF(A31="","",COUNTIFS(Quotes!$B$2:$B$301,A31,Quotes!$G$2:$G$301,"Y"))</f>
        <v>3</v>
      </c>
      <c r="N31" s="17" t="n">
        <f aca="false">IF(A31="","",IF(M31=0,"",_xlfn.MINIFS(Quotes!$F$2:$F$301,Quotes!$B$2:$B$301,A31,Quotes!$G$2:$G$301,"Y")))</f>
        <v>1.28330145083583</v>
      </c>
      <c r="O31" s="16" t="b">
        <f aca="false">IF(A31="","",AND(E31,G31="Y"))</f>
        <v>1</v>
      </c>
      <c r="P31" s="17" t="n">
        <f aca="false">IF(A31="","",IF(AND(O31,N31&lt;&gt;""),N31,""))</f>
        <v>1.28330145083583</v>
      </c>
      <c r="Q31" s="16" t="b">
        <f aca="false">IF(A31="","",COUNTIF(Picks!$A$2:$A$301,A31)&gt;0)</f>
        <v>1</v>
      </c>
      <c r="R31" s="13" t="n">
        <v>30</v>
      </c>
      <c r="S31" s="13"/>
      <c r="T31" s="16" t="b">
        <f aca="false">IF(A31="","",COUNTIF(Nudges!$C$2:$C$301,A31)&gt;0)</f>
        <v>0</v>
      </c>
      <c r="U31" s="8"/>
      <c r="V31" s="8"/>
    </row>
    <row r="32" customFormat="false" ht="15" hidden="false" customHeight="false" outlineLevel="0" collapsed="false">
      <c r="A32" s="13" t="s">
        <v>269</v>
      </c>
      <c r="B32" s="18" t="n">
        <v>46367.375</v>
      </c>
      <c r="C32" s="15" t="n">
        <f aca="false">IF(B32="","",INT((B32-Settings!$B$2)/7)+1)</f>
        <v>6</v>
      </c>
      <c r="D32" s="13" t="s">
        <v>25</v>
      </c>
      <c r="E32" s="16" t="b">
        <f aca="false">IF(A32="","",OR(D32=Settings!$B$3,AND(Settings!$B$4&lt;&gt;"",D32=Settings!$B$4)))</f>
        <v>1</v>
      </c>
      <c r="F32" s="13" t="s">
        <v>148</v>
      </c>
      <c r="G32" s="13" t="s">
        <v>76</v>
      </c>
      <c r="H32" s="13" t="s">
        <v>270</v>
      </c>
      <c r="I32" s="13" t="s">
        <v>271</v>
      </c>
      <c r="J32" s="13" t="s">
        <v>272</v>
      </c>
      <c r="K32" s="18" t="n">
        <v>46367.4166666667</v>
      </c>
      <c r="L32" s="13" t="s">
        <v>76</v>
      </c>
      <c r="M32" s="15" t="n">
        <f aca="false">IF(A32="","",COUNTIFS(Quotes!$B$2:$B$301,A32,Quotes!$G$2:$G$301,"Y"))</f>
        <v>0</v>
      </c>
      <c r="N32" s="17" t="str">
        <f aca="false">IF(A32="","",IF(M32=0,"",_xlfn.MINIFS(Quotes!$F$2:$F$301,Quotes!$B$2:$B$301,A32,Quotes!$G$2:$G$301,"Y")))</f>
        <v/>
      </c>
      <c r="O32" s="16" t="b">
        <f aca="false">IF(A32="","",AND(E32,G32="Y"))</f>
        <v>1</v>
      </c>
      <c r="P32" s="17" t="str">
        <f aca="false">IF(A32="","",IF(AND(O32,N32&lt;&gt;""),N32,""))</f>
        <v/>
      </c>
      <c r="Q32" s="16" t="b">
        <f aca="false">IF(A32="","",COUNTIF(Picks!$A$2:$A$301,A32)&gt;0)</f>
        <v>0</v>
      </c>
      <c r="R32" s="13" t="n">
        <v>30</v>
      </c>
      <c r="S32" s="13"/>
      <c r="T32" s="16" t="b">
        <f aca="false">IF(A32="","",COUNTIF(Nudges!$C$2:$C$301,A32)&gt;0)</f>
        <v>0</v>
      </c>
      <c r="U32" s="8"/>
      <c r="V32" s="8"/>
    </row>
    <row r="33" customFormat="false" ht="15" hidden="false" customHeight="false" outlineLevel="0" collapsed="false">
      <c r="A33" s="13" t="s">
        <v>273</v>
      </c>
      <c r="B33" s="18" t="n">
        <v>46368.53125</v>
      </c>
      <c r="C33" s="15" t="n">
        <f aca="false">IF(B33="","",INT((B33-Settings!$B$2)/7)+1)</f>
        <v>6</v>
      </c>
      <c r="D33" s="13" t="s">
        <v>115</v>
      </c>
      <c r="E33" s="16" t="b">
        <f aca="false">IF(A33="","",OR(D33=Settings!$B$3,AND(Settings!$B$4&lt;&gt;"",D33=Settings!$B$4)))</f>
        <v>0</v>
      </c>
      <c r="F33" s="13" t="s">
        <v>158</v>
      </c>
      <c r="G33" s="13" t="s">
        <v>76</v>
      </c>
      <c r="H33" s="13" t="s">
        <v>274</v>
      </c>
      <c r="I33" s="13" t="s">
        <v>275</v>
      </c>
      <c r="J33" s="13" t="s">
        <v>276</v>
      </c>
      <c r="K33" s="18" t="n">
        <v>46368.6145833333</v>
      </c>
      <c r="L33" s="13" t="s">
        <v>91</v>
      </c>
      <c r="M33" s="15" t="n">
        <f aca="false">IF(A33="","",COUNTIFS(Quotes!$B$2:$B$301,A33,Quotes!$G$2:$G$301,"Y"))</f>
        <v>0</v>
      </c>
      <c r="N33" s="17" t="str">
        <f aca="false">IF(A33="","",IF(M33=0,"",_xlfn.MINIFS(Quotes!$F$2:$F$301,Quotes!$B$2:$B$301,A33,Quotes!$G$2:$G$301,"Y")))</f>
        <v/>
      </c>
      <c r="O33" s="16" t="b">
        <f aca="false">IF(A33="","",AND(E33,G33="Y"))</f>
        <v>0</v>
      </c>
      <c r="P33" s="17" t="str">
        <f aca="false">IF(A33="","",IF(AND(O33,N33&lt;&gt;""),N33,""))</f>
        <v/>
      </c>
      <c r="Q33" s="16" t="b">
        <f aca="false">IF(A33="","",COUNTIF(Picks!$A$2:$A$301,A33)&gt;0)</f>
        <v>0</v>
      </c>
      <c r="R33" s="13" t="n">
        <v>30</v>
      </c>
      <c r="S33" s="13"/>
      <c r="T33" s="16" t="b">
        <f aca="false">IF(A33="","",COUNTIF(Nudges!$C$2:$C$301,A33)&gt;0)</f>
        <v>0</v>
      </c>
      <c r="U33" s="8"/>
      <c r="V33" s="8"/>
    </row>
    <row r="34" customFormat="false" ht="15" hidden="false" customHeight="false" outlineLevel="0" collapsed="false">
      <c r="A34" s="13"/>
      <c r="B34" s="18"/>
      <c r="C34" s="15" t="str">
        <f aca="false">IF(B34="","",INT((B34-Settings!$B$2)/7)+1)</f>
        <v/>
      </c>
      <c r="D34" s="13"/>
      <c r="E34" s="15" t="str">
        <f aca="false">IF(A34="","",OR(D34=Settings!$B$3,AND(Settings!$B$4&lt;&gt;"",D34=Settings!$B$4)))</f>
        <v/>
      </c>
      <c r="F34" s="13"/>
      <c r="G34" s="13"/>
      <c r="H34" s="13"/>
      <c r="I34" s="13"/>
      <c r="J34" s="13"/>
      <c r="K34" s="18"/>
      <c r="L34" s="13"/>
      <c r="M34" s="15" t="str">
        <f aca="false">IF(A34="","",COUNTIFS(Quotes!$B$2:$B$301,A34,Quotes!$G$2:$G$301,"Y"))</f>
        <v/>
      </c>
      <c r="N34" s="17" t="str">
        <f aca="false">IF(A34="","",IF(M34=0,"",_xlfn.MINIFS(Quotes!$F$2:$F$301,Quotes!$B$2:$B$301,A34,Quotes!$G$2:$G$301,"Y")))</f>
        <v/>
      </c>
      <c r="O34" s="15" t="str">
        <f aca="false">IF(A34="","",AND(E34,G34="Y"))</f>
        <v/>
      </c>
      <c r="P34" s="17" t="str">
        <f aca="false">IF(A34="","",IF(AND(O34,N34&lt;&gt;""),N34,""))</f>
        <v/>
      </c>
      <c r="Q34" s="15" t="str">
        <f aca="false">IF(A34="","",COUNTIF(Picks!$A$2:$A$301,A34)&gt;0)</f>
        <v/>
      </c>
      <c r="R34" s="13"/>
      <c r="S34" s="13"/>
      <c r="T34" s="15" t="str">
        <f aca="false">IF(A34="","",COUNTIF(Nudges!$C$2:$C$301,A34)&gt;0)</f>
        <v/>
      </c>
      <c r="U34" s="8"/>
      <c r="V34" s="8"/>
    </row>
    <row r="35" customFormat="false" ht="15" hidden="false" customHeight="false" outlineLevel="0" collapsed="false">
      <c r="A35" s="13"/>
      <c r="B35" s="18"/>
      <c r="C35" s="15" t="str">
        <f aca="false">IF(B35="","",INT((B35-Settings!$B$2)/7)+1)</f>
        <v/>
      </c>
      <c r="D35" s="13"/>
      <c r="E35" s="15" t="str">
        <f aca="false">IF(A35="","",OR(D35=Settings!$B$3,AND(Settings!$B$4&lt;&gt;"",D35=Settings!$B$4)))</f>
        <v/>
      </c>
      <c r="F35" s="13"/>
      <c r="G35" s="13"/>
      <c r="H35" s="13"/>
      <c r="I35" s="13"/>
      <c r="J35" s="13"/>
      <c r="K35" s="18"/>
      <c r="L35" s="13"/>
      <c r="M35" s="15" t="str">
        <f aca="false">IF(A35="","",COUNTIFS(Quotes!$B$2:$B$301,A35,Quotes!$G$2:$G$301,"Y"))</f>
        <v/>
      </c>
      <c r="N35" s="17" t="str">
        <f aca="false">IF(A35="","",IF(M35=0,"",_xlfn.MINIFS(Quotes!$F$2:$F$301,Quotes!$B$2:$B$301,A35,Quotes!$G$2:$G$301,"Y")))</f>
        <v/>
      </c>
      <c r="O35" s="15" t="str">
        <f aca="false">IF(A35="","",AND(E35,G35="Y"))</f>
        <v/>
      </c>
      <c r="P35" s="17" t="str">
        <f aca="false">IF(A35="","",IF(AND(O35,N35&lt;&gt;""),N35,""))</f>
        <v/>
      </c>
      <c r="Q35" s="15" t="str">
        <f aca="false">IF(A35="","",COUNTIF(Picks!$A$2:$A$301,A35)&gt;0)</f>
        <v/>
      </c>
      <c r="R35" s="13"/>
      <c r="S35" s="13"/>
      <c r="T35" s="15" t="str">
        <f aca="false">IF(A35="","",COUNTIF(Nudges!$C$2:$C$301,A35)&gt;0)</f>
        <v/>
      </c>
      <c r="U35" s="8"/>
      <c r="V35" s="8"/>
    </row>
    <row r="36" customFormat="false" ht="15" hidden="false" customHeight="false" outlineLevel="0" collapsed="false">
      <c r="A36" s="13"/>
      <c r="B36" s="18"/>
      <c r="C36" s="15" t="str">
        <f aca="false">IF(B36="","",INT((B36-Settings!$B$2)/7)+1)</f>
        <v/>
      </c>
      <c r="D36" s="13"/>
      <c r="E36" s="15" t="str">
        <f aca="false">IF(A36="","",OR(D36=Settings!$B$3,AND(Settings!$B$4&lt;&gt;"",D36=Settings!$B$4)))</f>
        <v/>
      </c>
      <c r="F36" s="13"/>
      <c r="G36" s="13"/>
      <c r="H36" s="13"/>
      <c r="I36" s="13"/>
      <c r="J36" s="13"/>
      <c r="K36" s="18"/>
      <c r="L36" s="13"/>
      <c r="M36" s="15" t="str">
        <f aca="false">IF(A36="","",COUNTIFS(Quotes!$B$2:$B$301,A36,Quotes!$G$2:$G$301,"Y"))</f>
        <v/>
      </c>
      <c r="N36" s="17" t="str">
        <f aca="false">IF(A36="","",IF(M36=0,"",_xlfn.MINIFS(Quotes!$F$2:$F$301,Quotes!$B$2:$B$301,A36,Quotes!$G$2:$G$301,"Y")))</f>
        <v/>
      </c>
      <c r="O36" s="15" t="str">
        <f aca="false">IF(A36="","",AND(E36,G36="Y"))</f>
        <v/>
      </c>
      <c r="P36" s="17" t="str">
        <f aca="false">IF(A36="","",IF(AND(O36,N36&lt;&gt;""),N36,""))</f>
        <v/>
      </c>
      <c r="Q36" s="15" t="str">
        <f aca="false">IF(A36="","",COUNTIF(Picks!$A$2:$A$301,A36)&gt;0)</f>
        <v/>
      </c>
      <c r="R36" s="13"/>
      <c r="S36" s="13"/>
      <c r="T36" s="15" t="str">
        <f aca="false">IF(A36="","",COUNTIF(Nudges!$C$2:$C$301,A36)&gt;0)</f>
        <v/>
      </c>
      <c r="U36" s="8"/>
      <c r="V36" s="8"/>
    </row>
    <row r="37" customFormat="false" ht="15" hidden="false" customHeight="false" outlineLevel="0" collapsed="false">
      <c r="A37" s="13"/>
      <c r="B37" s="18"/>
      <c r="C37" s="15" t="str">
        <f aca="false">IF(B37="","",INT((B37-Settings!$B$2)/7)+1)</f>
        <v/>
      </c>
      <c r="D37" s="13"/>
      <c r="E37" s="15" t="str">
        <f aca="false">IF(A37="","",OR(D37=Settings!$B$3,AND(Settings!$B$4&lt;&gt;"",D37=Settings!$B$4)))</f>
        <v/>
      </c>
      <c r="F37" s="13"/>
      <c r="G37" s="13"/>
      <c r="H37" s="13"/>
      <c r="I37" s="13"/>
      <c r="J37" s="13"/>
      <c r="K37" s="18"/>
      <c r="L37" s="13"/>
      <c r="M37" s="15" t="str">
        <f aca="false">IF(A37="","",COUNTIFS(Quotes!$B$2:$B$301,A37,Quotes!$G$2:$G$301,"Y"))</f>
        <v/>
      </c>
      <c r="N37" s="17" t="str">
        <f aca="false">IF(A37="","",IF(M37=0,"",_xlfn.MINIFS(Quotes!$F$2:$F$301,Quotes!$B$2:$B$301,A37,Quotes!$G$2:$G$301,"Y")))</f>
        <v/>
      </c>
      <c r="O37" s="15" t="str">
        <f aca="false">IF(A37="","",AND(E37,G37="Y"))</f>
        <v/>
      </c>
      <c r="P37" s="17" t="str">
        <f aca="false">IF(A37="","",IF(AND(O37,N37&lt;&gt;""),N37,""))</f>
        <v/>
      </c>
      <c r="Q37" s="15" t="str">
        <f aca="false">IF(A37="","",COUNTIF(Picks!$A$2:$A$301,A37)&gt;0)</f>
        <v/>
      </c>
      <c r="R37" s="13"/>
      <c r="S37" s="13"/>
      <c r="T37" s="15" t="str">
        <f aca="false">IF(A37="","",COUNTIF(Nudges!$C$2:$C$301,A37)&gt;0)</f>
        <v/>
      </c>
      <c r="U37" s="8"/>
      <c r="V37" s="8"/>
    </row>
    <row r="38" customFormat="false" ht="15" hidden="false" customHeight="false" outlineLevel="0" collapsed="false">
      <c r="A38" s="13"/>
      <c r="B38" s="18"/>
      <c r="C38" s="15" t="str">
        <f aca="false">IF(B38="","",INT((B38-Settings!$B$2)/7)+1)</f>
        <v/>
      </c>
      <c r="D38" s="13"/>
      <c r="E38" s="15" t="str">
        <f aca="false">IF(A38="","",OR(D38=Settings!$B$3,AND(Settings!$B$4&lt;&gt;"",D38=Settings!$B$4)))</f>
        <v/>
      </c>
      <c r="F38" s="13"/>
      <c r="G38" s="13"/>
      <c r="H38" s="13"/>
      <c r="I38" s="13"/>
      <c r="J38" s="13"/>
      <c r="K38" s="18"/>
      <c r="L38" s="13"/>
      <c r="M38" s="15" t="str">
        <f aca="false">IF(A38="","",COUNTIFS(Quotes!$B$2:$B$301,A38,Quotes!$G$2:$G$301,"Y"))</f>
        <v/>
      </c>
      <c r="N38" s="17" t="str">
        <f aca="false">IF(A38="","",IF(M38=0,"",_xlfn.MINIFS(Quotes!$F$2:$F$301,Quotes!$B$2:$B$301,A38,Quotes!$G$2:$G$301,"Y")))</f>
        <v/>
      </c>
      <c r="O38" s="15" t="str">
        <f aca="false">IF(A38="","",AND(E38,G38="Y"))</f>
        <v/>
      </c>
      <c r="P38" s="17" t="str">
        <f aca="false">IF(A38="","",IF(AND(O38,N38&lt;&gt;""),N38,""))</f>
        <v/>
      </c>
      <c r="Q38" s="15" t="str">
        <f aca="false">IF(A38="","",COUNTIF(Picks!$A$2:$A$301,A38)&gt;0)</f>
        <v/>
      </c>
      <c r="R38" s="13"/>
      <c r="S38" s="13"/>
      <c r="T38" s="15" t="str">
        <f aca="false">IF(A38="","",COUNTIF(Nudges!$C$2:$C$301,A38)&gt;0)</f>
        <v/>
      </c>
      <c r="U38" s="8"/>
      <c r="V38" s="8"/>
    </row>
    <row r="39" customFormat="false" ht="15" hidden="false" customHeight="false" outlineLevel="0" collapsed="false">
      <c r="A39" s="13"/>
      <c r="B39" s="18"/>
      <c r="C39" s="15" t="str">
        <f aca="false">IF(B39="","",INT((B39-Settings!$B$2)/7)+1)</f>
        <v/>
      </c>
      <c r="D39" s="13"/>
      <c r="E39" s="15" t="str">
        <f aca="false">IF(A39="","",OR(D39=Settings!$B$3,AND(Settings!$B$4&lt;&gt;"",D39=Settings!$B$4)))</f>
        <v/>
      </c>
      <c r="F39" s="13"/>
      <c r="G39" s="13"/>
      <c r="H39" s="13"/>
      <c r="I39" s="13"/>
      <c r="J39" s="13"/>
      <c r="K39" s="18"/>
      <c r="L39" s="13"/>
      <c r="M39" s="15" t="str">
        <f aca="false">IF(A39="","",COUNTIFS(Quotes!$B$2:$B$301,A39,Quotes!$G$2:$G$301,"Y"))</f>
        <v/>
      </c>
      <c r="N39" s="17" t="str">
        <f aca="false">IF(A39="","",IF(M39=0,"",_xlfn.MINIFS(Quotes!$F$2:$F$301,Quotes!$B$2:$B$301,A39,Quotes!$G$2:$G$301,"Y")))</f>
        <v/>
      </c>
      <c r="O39" s="15" t="str">
        <f aca="false">IF(A39="","",AND(E39,G39="Y"))</f>
        <v/>
      </c>
      <c r="P39" s="17" t="str">
        <f aca="false">IF(A39="","",IF(AND(O39,N39&lt;&gt;""),N39,""))</f>
        <v/>
      </c>
      <c r="Q39" s="15" t="str">
        <f aca="false">IF(A39="","",COUNTIF(Picks!$A$2:$A$301,A39)&gt;0)</f>
        <v/>
      </c>
      <c r="R39" s="13"/>
      <c r="S39" s="13"/>
      <c r="T39" s="15" t="str">
        <f aca="false">IF(A39="","",COUNTIF(Nudges!$C$2:$C$301,A39)&gt;0)</f>
        <v/>
      </c>
      <c r="U39" s="8"/>
      <c r="V39" s="8"/>
    </row>
    <row r="40" customFormat="false" ht="15" hidden="false" customHeight="false" outlineLevel="0" collapsed="false">
      <c r="A40" s="13"/>
      <c r="B40" s="18"/>
      <c r="C40" s="15" t="str">
        <f aca="false">IF(B40="","",INT((B40-Settings!$B$2)/7)+1)</f>
        <v/>
      </c>
      <c r="D40" s="13"/>
      <c r="E40" s="15" t="str">
        <f aca="false">IF(A40="","",OR(D40=Settings!$B$3,AND(Settings!$B$4&lt;&gt;"",D40=Settings!$B$4)))</f>
        <v/>
      </c>
      <c r="F40" s="13"/>
      <c r="G40" s="13"/>
      <c r="H40" s="13"/>
      <c r="I40" s="13"/>
      <c r="J40" s="13"/>
      <c r="K40" s="18"/>
      <c r="L40" s="13"/>
      <c r="M40" s="15" t="str">
        <f aca="false">IF(A40="","",COUNTIFS(Quotes!$B$2:$B$301,A40,Quotes!$G$2:$G$301,"Y"))</f>
        <v/>
      </c>
      <c r="N40" s="17" t="str">
        <f aca="false">IF(A40="","",IF(M40=0,"",_xlfn.MINIFS(Quotes!$F$2:$F$301,Quotes!$B$2:$B$301,A40,Quotes!$G$2:$G$301,"Y")))</f>
        <v/>
      </c>
      <c r="O40" s="15" t="str">
        <f aca="false">IF(A40="","",AND(E40,G40="Y"))</f>
        <v/>
      </c>
      <c r="P40" s="17" t="str">
        <f aca="false">IF(A40="","",IF(AND(O40,N40&lt;&gt;""),N40,""))</f>
        <v/>
      </c>
      <c r="Q40" s="15" t="str">
        <f aca="false">IF(A40="","",COUNTIF(Picks!$A$2:$A$301,A40)&gt;0)</f>
        <v/>
      </c>
      <c r="R40" s="13"/>
      <c r="S40" s="13"/>
      <c r="T40" s="15" t="str">
        <f aca="false">IF(A40="","",COUNTIF(Nudges!$C$2:$C$301,A40)&gt;0)</f>
        <v/>
      </c>
      <c r="U40" s="8"/>
      <c r="V40" s="8"/>
    </row>
    <row r="41" customFormat="false" ht="15" hidden="false" customHeight="false" outlineLevel="0" collapsed="false">
      <c r="A41" s="13"/>
      <c r="B41" s="18"/>
      <c r="C41" s="15" t="str">
        <f aca="false">IF(B41="","",INT((B41-Settings!$B$2)/7)+1)</f>
        <v/>
      </c>
      <c r="D41" s="13"/>
      <c r="E41" s="15" t="str">
        <f aca="false">IF(A41="","",OR(D41=Settings!$B$3,AND(Settings!$B$4&lt;&gt;"",D41=Settings!$B$4)))</f>
        <v/>
      </c>
      <c r="F41" s="13"/>
      <c r="G41" s="13"/>
      <c r="H41" s="13"/>
      <c r="I41" s="13"/>
      <c r="J41" s="13"/>
      <c r="K41" s="18"/>
      <c r="L41" s="13"/>
      <c r="M41" s="15" t="str">
        <f aca="false">IF(A41="","",COUNTIFS(Quotes!$B$2:$B$301,A41,Quotes!$G$2:$G$301,"Y"))</f>
        <v/>
      </c>
      <c r="N41" s="17" t="str">
        <f aca="false">IF(A41="","",IF(M41=0,"",_xlfn.MINIFS(Quotes!$F$2:$F$301,Quotes!$B$2:$B$301,A41,Quotes!$G$2:$G$301,"Y")))</f>
        <v/>
      </c>
      <c r="O41" s="15" t="str">
        <f aca="false">IF(A41="","",AND(E41,G41="Y"))</f>
        <v/>
      </c>
      <c r="P41" s="17" t="str">
        <f aca="false">IF(A41="","",IF(AND(O41,N41&lt;&gt;""),N41,""))</f>
        <v/>
      </c>
      <c r="Q41" s="15" t="str">
        <f aca="false">IF(A41="","",COUNTIF(Picks!$A$2:$A$301,A41)&gt;0)</f>
        <v/>
      </c>
      <c r="R41" s="13"/>
      <c r="S41" s="13"/>
      <c r="T41" s="15" t="str">
        <f aca="false">IF(A41="","",COUNTIF(Nudges!$C$2:$C$301,A41)&gt;0)</f>
        <v/>
      </c>
      <c r="U41" s="8"/>
      <c r="V41" s="8"/>
    </row>
    <row r="42" customFormat="false" ht="15" hidden="false" customHeight="false" outlineLevel="0" collapsed="false">
      <c r="A42" s="13"/>
      <c r="B42" s="18"/>
      <c r="C42" s="15" t="str">
        <f aca="false">IF(B42="","",INT((B42-Settings!$B$2)/7)+1)</f>
        <v/>
      </c>
      <c r="D42" s="13"/>
      <c r="E42" s="15" t="str">
        <f aca="false">IF(A42="","",OR(D42=Settings!$B$3,AND(Settings!$B$4&lt;&gt;"",D42=Settings!$B$4)))</f>
        <v/>
      </c>
      <c r="F42" s="13"/>
      <c r="G42" s="13"/>
      <c r="H42" s="13"/>
      <c r="I42" s="13"/>
      <c r="J42" s="13"/>
      <c r="K42" s="18"/>
      <c r="L42" s="13"/>
      <c r="M42" s="15" t="str">
        <f aca="false">IF(A42="","",COUNTIFS(Quotes!$B$2:$B$301,A42,Quotes!$G$2:$G$301,"Y"))</f>
        <v/>
      </c>
      <c r="N42" s="17" t="str">
        <f aca="false">IF(A42="","",IF(M42=0,"",_xlfn.MINIFS(Quotes!$F$2:$F$301,Quotes!$B$2:$B$301,A42,Quotes!$G$2:$G$301,"Y")))</f>
        <v/>
      </c>
      <c r="O42" s="15" t="str">
        <f aca="false">IF(A42="","",AND(E42,G42="Y"))</f>
        <v/>
      </c>
      <c r="P42" s="17" t="str">
        <f aca="false">IF(A42="","",IF(AND(O42,N42&lt;&gt;""),N42,""))</f>
        <v/>
      </c>
      <c r="Q42" s="15" t="str">
        <f aca="false">IF(A42="","",COUNTIF(Picks!$A$2:$A$301,A42)&gt;0)</f>
        <v/>
      </c>
      <c r="R42" s="13"/>
      <c r="S42" s="13"/>
      <c r="T42" s="15" t="str">
        <f aca="false">IF(A42="","",COUNTIF(Nudges!$C$2:$C$301,A42)&gt;0)</f>
        <v/>
      </c>
      <c r="U42" s="8"/>
      <c r="V42" s="8"/>
    </row>
    <row r="43" customFormat="false" ht="15" hidden="false" customHeight="false" outlineLevel="0" collapsed="false">
      <c r="A43" s="13"/>
      <c r="B43" s="18"/>
      <c r="C43" s="15" t="str">
        <f aca="false">IF(B43="","",INT((B43-Settings!$B$2)/7)+1)</f>
        <v/>
      </c>
      <c r="D43" s="13"/>
      <c r="E43" s="15" t="str">
        <f aca="false">IF(A43="","",OR(D43=Settings!$B$3,AND(Settings!$B$4&lt;&gt;"",D43=Settings!$B$4)))</f>
        <v/>
      </c>
      <c r="F43" s="13"/>
      <c r="G43" s="13"/>
      <c r="H43" s="13"/>
      <c r="I43" s="13"/>
      <c r="J43" s="13"/>
      <c r="K43" s="18"/>
      <c r="L43" s="13"/>
      <c r="M43" s="15" t="str">
        <f aca="false">IF(A43="","",COUNTIFS(Quotes!$B$2:$B$301,A43,Quotes!$G$2:$G$301,"Y"))</f>
        <v/>
      </c>
      <c r="N43" s="17" t="str">
        <f aca="false">IF(A43="","",IF(M43=0,"",_xlfn.MINIFS(Quotes!$F$2:$F$301,Quotes!$B$2:$B$301,A43,Quotes!$G$2:$G$301,"Y")))</f>
        <v/>
      </c>
      <c r="O43" s="15" t="str">
        <f aca="false">IF(A43="","",AND(E43,G43="Y"))</f>
        <v/>
      </c>
      <c r="P43" s="17" t="str">
        <f aca="false">IF(A43="","",IF(AND(O43,N43&lt;&gt;""),N43,""))</f>
        <v/>
      </c>
      <c r="Q43" s="15" t="str">
        <f aca="false">IF(A43="","",COUNTIF(Picks!$A$2:$A$301,A43)&gt;0)</f>
        <v/>
      </c>
      <c r="R43" s="13"/>
      <c r="S43" s="13"/>
      <c r="T43" s="15" t="str">
        <f aca="false">IF(A43="","",COUNTIF(Nudges!$C$2:$C$301,A43)&gt;0)</f>
        <v/>
      </c>
      <c r="U43" s="8"/>
      <c r="V43" s="8"/>
    </row>
    <row r="44" customFormat="false" ht="15" hidden="false" customHeight="false" outlineLevel="0" collapsed="false">
      <c r="A44" s="13"/>
      <c r="B44" s="18"/>
      <c r="C44" s="15" t="str">
        <f aca="false">IF(B44="","",INT((B44-Settings!$B$2)/7)+1)</f>
        <v/>
      </c>
      <c r="D44" s="13"/>
      <c r="E44" s="15" t="str">
        <f aca="false">IF(A44="","",OR(D44=Settings!$B$3,AND(Settings!$B$4&lt;&gt;"",D44=Settings!$B$4)))</f>
        <v/>
      </c>
      <c r="F44" s="13"/>
      <c r="G44" s="13"/>
      <c r="H44" s="13"/>
      <c r="I44" s="13"/>
      <c r="J44" s="13"/>
      <c r="K44" s="18"/>
      <c r="L44" s="13"/>
      <c r="M44" s="15" t="str">
        <f aca="false">IF(A44="","",COUNTIFS(Quotes!$B$2:$B$301,A44,Quotes!$G$2:$G$301,"Y"))</f>
        <v/>
      </c>
      <c r="N44" s="17" t="str">
        <f aca="false">IF(A44="","",IF(M44=0,"",_xlfn.MINIFS(Quotes!$F$2:$F$301,Quotes!$B$2:$B$301,A44,Quotes!$G$2:$G$301,"Y")))</f>
        <v/>
      </c>
      <c r="O44" s="15" t="str">
        <f aca="false">IF(A44="","",AND(E44,G44="Y"))</f>
        <v/>
      </c>
      <c r="P44" s="17" t="str">
        <f aca="false">IF(A44="","",IF(AND(O44,N44&lt;&gt;""),N44,""))</f>
        <v/>
      </c>
      <c r="Q44" s="15" t="str">
        <f aca="false">IF(A44="","",COUNTIF(Picks!$A$2:$A$301,A44)&gt;0)</f>
        <v/>
      </c>
      <c r="R44" s="13"/>
      <c r="S44" s="13"/>
      <c r="T44" s="15" t="str">
        <f aca="false">IF(A44="","",COUNTIF(Nudges!$C$2:$C$301,A44)&gt;0)</f>
        <v/>
      </c>
      <c r="U44" s="8"/>
      <c r="V44" s="8"/>
    </row>
    <row r="45" customFormat="false" ht="15" hidden="false" customHeight="false" outlineLevel="0" collapsed="false">
      <c r="A45" s="13"/>
      <c r="B45" s="18"/>
      <c r="C45" s="15" t="str">
        <f aca="false">IF(B45="","",INT((B45-Settings!$B$2)/7)+1)</f>
        <v/>
      </c>
      <c r="D45" s="13"/>
      <c r="E45" s="15" t="str">
        <f aca="false">IF(A45="","",OR(D45=Settings!$B$3,AND(Settings!$B$4&lt;&gt;"",D45=Settings!$B$4)))</f>
        <v/>
      </c>
      <c r="F45" s="13"/>
      <c r="G45" s="13"/>
      <c r="H45" s="13"/>
      <c r="I45" s="13"/>
      <c r="J45" s="13"/>
      <c r="K45" s="18"/>
      <c r="L45" s="13"/>
      <c r="M45" s="15" t="str">
        <f aca="false">IF(A45="","",COUNTIFS(Quotes!$B$2:$B$301,A45,Quotes!$G$2:$G$301,"Y"))</f>
        <v/>
      </c>
      <c r="N45" s="17" t="str">
        <f aca="false">IF(A45="","",IF(M45=0,"",_xlfn.MINIFS(Quotes!$F$2:$F$301,Quotes!$B$2:$B$301,A45,Quotes!$G$2:$G$301,"Y")))</f>
        <v/>
      </c>
      <c r="O45" s="15" t="str">
        <f aca="false">IF(A45="","",AND(E45,G45="Y"))</f>
        <v/>
      </c>
      <c r="P45" s="17" t="str">
        <f aca="false">IF(A45="","",IF(AND(O45,N45&lt;&gt;""),N45,""))</f>
        <v/>
      </c>
      <c r="Q45" s="15" t="str">
        <f aca="false">IF(A45="","",COUNTIF(Picks!$A$2:$A$301,A45)&gt;0)</f>
        <v/>
      </c>
      <c r="R45" s="13"/>
      <c r="S45" s="13"/>
      <c r="T45" s="15" t="str">
        <f aca="false">IF(A45="","",COUNTIF(Nudges!$C$2:$C$301,A45)&gt;0)</f>
        <v/>
      </c>
      <c r="U45" s="8"/>
      <c r="V45" s="8"/>
    </row>
    <row r="46" customFormat="false" ht="15" hidden="false" customHeight="false" outlineLevel="0" collapsed="false">
      <c r="A46" s="13"/>
      <c r="B46" s="18"/>
      <c r="C46" s="15" t="str">
        <f aca="false">IF(B46="","",INT((B46-Settings!$B$2)/7)+1)</f>
        <v/>
      </c>
      <c r="D46" s="13"/>
      <c r="E46" s="15" t="str">
        <f aca="false">IF(A46="","",OR(D46=Settings!$B$3,AND(Settings!$B$4&lt;&gt;"",D46=Settings!$B$4)))</f>
        <v/>
      </c>
      <c r="F46" s="13"/>
      <c r="G46" s="13"/>
      <c r="H46" s="13"/>
      <c r="I46" s="13"/>
      <c r="J46" s="13"/>
      <c r="K46" s="18"/>
      <c r="L46" s="13"/>
      <c r="M46" s="15" t="str">
        <f aca="false">IF(A46="","",COUNTIFS(Quotes!$B$2:$B$301,A46,Quotes!$G$2:$G$301,"Y"))</f>
        <v/>
      </c>
      <c r="N46" s="17" t="str">
        <f aca="false">IF(A46="","",IF(M46=0,"",_xlfn.MINIFS(Quotes!$F$2:$F$301,Quotes!$B$2:$B$301,A46,Quotes!$G$2:$G$301,"Y")))</f>
        <v/>
      </c>
      <c r="O46" s="15" t="str">
        <f aca="false">IF(A46="","",AND(E46,G46="Y"))</f>
        <v/>
      </c>
      <c r="P46" s="17" t="str">
        <f aca="false">IF(A46="","",IF(AND(O46,N46&lt;&gt;""),N46,""))</f>
        <v/>
      </c>
      <c r="Q46" s="15" t="str">
        <f aca="false">IF(A46="","",COUNTIF(Picks!$A$2:$A$301,A46)&gt;0)</f>
        <v/>
      </c>
      <c r="R46" s="13"/>
      <c r="S46" s="13"/>
      <c r="T46" s="15" t="str">
        <f aca="false">IF(A46="","",COUNTIF(Nudges!$C$2:$C$301,A46)&gt;0)</f>
        <v/>
      </c>
      <c r="U46" s="8"/>
      <c r="V46" s="8"/>
    </row>
    <row r="47" customFormat="false" ht="15" hidden="false" customHeight="false" outlineLevel="0" collapsed="false">
      <c r="A47" s="13"/>
      <c r="B47" s="18"/>
      <c r="C47" s="15" t="str">
        <f aca="false">IF(B47="","",INT((B47-Settings!$B$2)/7)+1)</f>
        <v/>
      </c>
      <c r="D47" s="13"/>
      <c r="E47" s="15" t="str">
        <f aca="false">IF(A47="","",OR(D47=Settings!$B$3,AND(Settings!$B$4&lt;&gt;"",D47=Settings!$B$4)))</f>
        <v/>
      </c>
      <c r="F47" s="13"/>
      <c r="G47" s="13"/>
      <c r="H47" s="13"/>
      <c r="I47" s="13"/>
      <c r="J47" s="13"/>
      <c r="K47" s="18"/>
      <c r="L47" s="13"/>
      <c r="M47" s="15" t="str">
        <f aca="false">IF(A47="","",COUNTIFS(Quotes!$B$2:$B$301,A47,Quotes!$G$2:$G$301,"Y"))</f>
        <v/>
      </c>
      <c r="N47" s="17" t="str">
        <f aca="false">IF(A47="","",IF(M47=0,"",_xlfn.MINIFS(Quotes!$F$2:$F$301,Quotes!$B$2:$B$301,A47,Quotes!$G$2:$G$301,"Y")))</f>
        <v/>
      </c>
      <c r="O47" s="15" t="str">
        <f aca="false">IF(A47="","",AND(E47,G47="Y"))</f>
        <v/>
      </c>
      <c r="P47" s="17" t="str">
        <f aca="false">IF(A47="","",IF(AND(O47,N47&lt;&gt;""),N47,""))</f>
        <v/>
      </c>
      <c r="Q47" s="15" t="str">
        <f aca="false">IF(A47="","",COUNTIF(Picks!$A$2:$A$301,A47)&gt;0)</f>
        <v/>
      </c>
      <c r="R47" s="13"/>
      <c r="S47" s="13"/>
      <c r="T47" s="15" t="str">
        <f aca="false">IF(A47="","",COUNTIF(Nudges!$C$2:$C$301,A47)&gt;0)</f>
        <v/>
      </c>
      <c r="U47" s="8"/>
      <c r="V47" s="8"/>
    </row>
    <row r="48" customFormat="false" ht="15" hidden="false" customHeight="false" outlineLevel="0" collapsed="false">
      <c r="A48" s="13"/>
      <c r="B48" s="18"/>
      <c r="C48" s="15" t="str">
        <f aca="false">IF(B48="","",INT((B48-Settings!$B$2)/7)+1)</f>
        <v/>
      </c>
      <c r="D48" s="13"/>
      <c r="E48" s="15" t="str">
        <f aca="false">IF(A48="","",OR(D48=Settings!$B$3,AND(Settings!$B$4&lt;&gt;"",D48=Settings!$B$4)))</f>
        <v/>
      </c>
      <c r="F48" s="13"/>
      <c r="G48" s="13"/>
      <c r="H48" s="13"/>
      <c r="I48" s="13"/>
      <c r="J48" s="13"/>
      <c r="K48" s="18"/>
      <c r="L48" s="13"/>
      <c r="M48" s="15" t="str">
        <f aca="false">IF(A48="","",COUNTIFS(Quotes!$B$2:$B$301,A48,Quotes!$G$2:$G$301,"Y"))</f>
        <v/>
      </c>
      <c r="N48" s="17" t="str">
        <f aca="false">IF(A48="","",IF(M48=0,"",_xlfn.MINIFS(Quotes!$F$2:$F$301,Quotes!$B$2:$B$301,A48,Quotes!$G$2:$G$301,"Y")))</f>
        <v/>
      </c>
      <c r="O48" s="15" t="str">
        <f aca="false">IF(A48="","",AND(E48,G48="Y"))</f>
        <v/>
      </c>
      <c r="P48" s="17" t="str">
        <f aca="false">IF(A48="","",IF(AND(O48,N48&lt;&gt;""),N48,""))</f>
        <v/>
      </c>
      <c r="Q48" s="15" t="str">
        <f aca="false">IF(A48="","",COUNTIF(Picks!$A$2:$A$301,A48)&gt;0)</f>
        <v/>
      </c>
      <c r="R48" s="13"/>
      <c r="S48" s="13"/>
      <c r="T48" s="15" t="str">
        <f aca="false">IF(A48="","",COUNTIF(Nudges!$C$2:$C$301,A48)&gt;0)</f>
        <v/>
      </c>
      <c r="U48" s="8"/>
      <c r="V48" s="8"/>
    </row>
    <row r="49" customFormat="false" ht="15" hidden="false" customHeight="false" outlineLevel="0" collapsed="false">
      <c r="A49" s="13"/>
      <c r="B49" s="18"/>
      <c r="C49" s="15" t="str">
        <f aca="false">IF(B49="","",INT((B49-Settings!$B$2)/7)+1)</f>
        <v/>
      </c>
      <c r="D49" s="13"/>
      <c r="E49" s="15" t="str">
        <f aca="false">IF(A49="","",OR(D49=Settings!$B$3,AND(Settings!$B$4&lt;&gt;"",D49=Settings!$B$4)))</f>
        <v/>
      </c>
      <c r="F49" s="13"/>
      <c r="G49" s="13"/>
      <c r="H49" s="13"/>
      <c r="I49" s="13"/>
      <c r="J49" s="13"/>
      <c r="K49" s="18"/>
      <c r="L49" s="13"/>
      <c r="M49" s="15" t="str">
        <f aca="false">IF(A49="","",COUNTIFS(Quotes!$B$2:$B$301,A49,Quotes!$G$2:$G$301,"Y"))</f>
        <v/>
      </c>
      <c r="N49" s="17" t="str">
        <f aca="false">IF(A49="","",IF(M49=0,"",_xlfn.MINIFS(Quotes!$F$2:$F$301,Quotes!$B$2:$B$301,A49,Quotes!$G$2:$G$301,"Y")))</f>
        <v/>
      </c>
      <c r="O49" s="15" t="str">
        <f aca="false">IF(A49="","",AND(E49,G49="Y"))</f>
        <v/>
      </c>
      <c r="P49" s="17" t="str">
        <f aca="false">IF(A49="","",IF(AND(O49,N49&lt;&gt;""),N49,""))</f>
        <v/>
      </c>
      <c r="Q49" s="15" t="str">
        <f aca="false">IF(A49="","",COUNTIF(Picks!$A$2:$A$301,A49)&gt;0)</f>
        <v/>
      </c>
      <c r="R49" s="13"/>
      <c r="S49" s="13"/>
      <c r="T49" s="15" t="str">
        <f aca="false">IF(A49="","",COUNTIF(Nudges!$C$2:$C$301,A49)&gt;0)</f>
        <v/>
      </c>
      <c r="U49" s="8"/>
      <c r="V49" s="8"/>
    </row>
    <row r="50" customFormat="false" ht="15" hidden="false" customHeight="false" outlineLevel="0" collapsed="false">
      <c r="A50" s="13"/>
      <c r="B50" s="18"/>
      <c r="C50" s="15" t="str">
        <f aca="false">IF(B50="","",INT((B50-Settings!$B$2)/7)+1)</f>
        <v/>
      </c>
      <c r="D50" s="13"/>
      <c r="E50" s="15" t="str">
        <f aca="false">IF(A50="","",OR(D50=Settings!$B$3,AND(Settings!$B$4&lt;&gt;"",D50=Settings!$B$4)))</f>
        <v/>
      </c>
      <c r="F50" s="13"/>
      <c r="G50" s="13"/>
      <c r="H50" s="13"/>
      <c r="I50" s="13"/>
      <c r="J50" s="13"/>
      <c r="K50" s="18"/>
      <c r="L50" s="13"/>
      <c r="M50" s="15" t="str">
        <f aca="false">IF(A50="","",COUNTIFS(Quotes!$B$2:$B$301,A50,Quotes!$G$2:$G$301,"Y"))</f>
        <v/>
      </c>
      <c r="N50" s="17" t="str">
        <f aca="false">IF(A50="","",IF(M50=0,"",_xlfn.MINIFS(Quotes!$F$2:$F$301,Quotes!$B$2:$B$301,A50,Quotes!$G$2:$G$301,"Y")))</f>
        <v/>
      </c>
      <c r="O50" s="15" t="str">
        <f aca="false">IF(A50="","",AND(E50,G50="Y"))</f>
        <v/>
      </c>
      <c r="P50" s="17" t="str">
        <f aca="false">IF(A50="","",IF(AND(O50,N50&lt;&gt;""),N50,""))</f>
        <v/>
      </c>
      <c r="Q50" s="15" t="str">
        <f aca="false">IF(A50="","",COUNTIF(Picks!$A$2:$A$301,A50)&gt;0)</f>
        <v/>
      </c>
      <c r="R50" s="13"/>
      <c r="S50" s="13"/>
      <c r="T50" s="15" t="str">
        <f aca="false">IF(A50="","",COUNTIF(Nudges!$C$2:$C$301,A50)&gt;0)</f>
        <v/>
      </c>
      <c r="U50" s="8"/>
      <c r="V50" s="8"/>
    </row>
    <row r="51" customFormat="false" ht="15" hidden="false" customHeight="false" outlineLevel="0" collapsed="false">
      <c r="A51" s="13"/>
      <c r="B51" s="18"/>
      <c r="C51" s="15" t="str">
        <f aca="false">IF(B51="","",INT((B51-Settings!$B$2)/7)+1)</f>
        <v/>
      </c>
      <c r="D51" s="13"/>
      <c r="E51" s="15" t="str">
        <f aca="false">IF(A51="","",OR(D51=Settings!$B$3,AND(Settings!$B$4&lt;&gt;"",D51=Settings!$B$4)))</f>
        <v/>
      </c>
      <c r="F51" s="13"/>
      <c r="G51" s="13"/>
      <c r="H51" s="13"/>
      <c r="I51" s="13"/>
      <c r="J51" s="13"/>
      <c r="K51" s="18"/>
      <c r="L51" s="13"/>
      <c r="M51" s="15" t="str">
        <f aca="false">IF(A51="","",COUNTIFS(Quotes!$B$2:$B$301,A51,Quotes!$G$2:$G$301,"Y"))</f>
        <v/>
      </c>
      <c r="N51" s="17" t="str">
        <f aca="false">IF(A51="","",IF(M51=0,"",_xlfn.MINIFS(Quotes!$F$2:$F$301,Quotes!$B$2:$B$301,A51,Quotes!$G$2:$G$301,"Y")))</f>
        <v/>
      </c>
      <c r="O51" s="15" t="str">
        <f aca="false">IF(A51="","",AND(E51,G51="Y"))</f>
        <v/>
      </c>
      <c r="P51" s="17" t="str">
        <f aca="false">IF(A51="","",IF(AND(O51,N51&lt;&gt;""),N51,""))</f>
        <v/>
      </c>
      <c r="Q51" s="15" t="str">
        <f aca="false">IF(A51="","",COUNTIF(Picks!$A$2:$A$301,A51)&gt;0)</f>
        <v/>
      </c>
      <c r="R51" s="13"/>
      <c r="S51" s="13"/>
      <c r="T51" s="15" t="str">
        <f aca="false">IF(A51="","",COUNTIF(Nudges!$C$2:$C$301,A51)&gt;0)</f>
        <v/>
      </c>
      <c r="U51" s="8"/>
      <c r="V51" s="8"/>
    </row>
    <row r="52" customFormat="false" ht="15" hidden="false" customHeight="false" outlineLevel="0" collapsed="false">
      <c r="A52" s="13"/>
      <c r="B52" s="18"/>
      <c r="C52" s="15" t="str">
        <f aca="false">IF(B52="","",INT((B52-Settings!$B$2)/7)+1)</f>
        <v/>
      </c>
      <c r="D52" s="13"/>
      <c r="E52" s="15" t="str">
        <f aca="false">IF(A52="","",OR(D52=Settings!$B$3,AND(Settings!$B$4&lt;&gt;"",D52=Settings!$B$4)))</f>
        <v/>
      </c>
      <c r="F52" s="13"/>
      <c r="G52" s="13"/>
      <c r="H52" s="13"/>
      <c r="I52" s="13"/>
      <c r="J52" s="13"/>
      <c r="K52" s="18"/>
      <c r="L52" s="13"/>
      <c r="M52" s="15" t="str">
        <f aca="false">IF(A52="","",COUNTIFS(Quotes!$B$2:$B$301,A52,Quotes!$G$2:$G$301,"Y"))</f>
        <v/>
      </c>
      <c r="N52" s="17" t="str">
        <f aca="false">IF(A52="","",IF(M52=0,"",_xlfn.MINIFS(Quotes!$F$2:$F$301,Quotes!$B$2:$B$301,A52,Quotes!$G$2:$G$301,"Y")))</f>
        <v/>
      </c>
      <c r="O52" s="15" t="str">
        <f aca="false">IF(A52="","",AND(E52,G52="Y"))</f>
        <v/>
      </c>
      <c r="P52" s="17" t="str">
        <f aca="false">IF(A52="","",IF(AND(O52,N52&lt;&gt;""),N52,""))</f>
        <v/>
      </c>
      <c r="Q52" s="15" t="str">
        <f aca="false">IF(A52="","",COUNTIF(Picks!$A$2:$A$301,A52)&gt;0)</f>
        <v/>
      </c>
      <c r="R52" s="13"/>
      <c r="S52" s="13"/>
      <c r="T52" s="15" t="str">
        <f aca="false">IF(A52="","",COUNTIF(Nudges!$C$2:$C$301,A52)&gt;0)</f>
        <v/>
      </c>
      <c r="U52" s="8"/>
      <c r="V52" s="8"/>
    </row>
    <row r="53" customFormat="false" ht="15" hidden="false" customHeight="false" outlineLevel="0" collapsed="false">
      <c r="A53" s="13"/>
      <c r="B53" s="18"/>
      <c r="C53" s="15" t="str">
        <f aca="false">IF(B53="","",INT((B53-Settings!$B$2)/7)+1)</f>
        <v/>
      </c>
      <c r="D53" s="13"/>
      <c r="E53" s="15" t="str">
        <f aca="false">IF(A53="","",OR(D53=Settings!$B$3,AND(Settings!$B$4&lt;&gt;"",D53=Settings!$B$4)))</f>
        <v/>
      </c>
      <c r="F53" s="13"/>
      <c r="G53" s="13"/>
      <c r="H53" s="13"/>
      <c r="I53" s="13"/>
      <c r="J53" s="13"/>
      <c r="K53" s="18"/>
      <c r="L53" s="13"/>
      <c r="M53" s="15" t="str">
        <f aca="false">IF(A53="","",COUNTIFS(Quotes!$B$2:$B$301,A53,Quotes!$G$2:$G$301,"Y"))</f>
        <v/>
      </c>
      <c r="N53" s="17" t="str">
        <f aca="false">IF(A53="","",IF(M53=0,"",_xlfn.MINIFS(Quotes!$F$2:$F$301,Quotes!$B$2:$B$301,A53,Quotes!$G$2:$G$301,"Y")))</f>
        <v/>
      </c>
      <c r="O53" s="15" t="str">
        <f aca="false">IF(A53="","",AND(E53,G53="Y"))</f>
        <v/>
      </c>
      <c r="P53" s="17" t="str">
        <f aca="false">IF(A53="","",IF(AND(O53,N53&lt;&gt;""),N53,""))</f>
        <v/>
      </c>
      <c r="Q53" s="15" t="str">
        <f aca="false">IF(A53="","",COUNTIF(Picks!$A$2:$A$301,A53)&gt;0)</f>
        <v/>
      </c>
      <c r="R53" s="13"/>
      <c r="S53" s="13"/>
      <c r="T53" s="15" t="str">
        <f aca="false">IF(A53="","",COUNTIF(Nudges!$C$2:$C$301,A53)&gt;0)</f>
        <v/>
      </c>
      <c r="U53" s="8"/>
      <c r="V53" s="8"/>
    </row>
    <row r="54" customFormat="false" ht="15" hidden="false" customHeight="false" outlineLevel="0" collapsed="false">
      <c r="A54" s="13"/>
      <c r="B54" s="18"/>
      <c r="C54" s="15" t="str">
        <f aca="false">IF(B54="","",INT((B54-Settings!$B$2)/7)+1)</f>
        <v/>
      </c>
      <c r="D54" s="13"/>
      <c r="E54" s="15" t="str">
        <f aca="false">IF(A54="","",OR(D54=Settings!$B$3,AND(Settings!$B$4&lt;&gt;"",D54=Settings!$B$4)))</f>
        <v/>
      </c>
      <c r="F54" s="13"/>
      <c r="G54" s="13"/>
      <c r="H54" s="13"/>
      <c r="I54" s="13"/>
      <c r="J54" s="13"/>
      <c r="K54" s="18"/>
      <c r="L54" s="13"/>
      <c r="M54" s="15" t="str">
        <f aca="false">IF(A54="","",COUNTIFS(Quotes!$B$2:$B$301,A54,Quotes!$G$2:$G$301,"Y"))</f>
        <v/>
      </c>
      <c r="N54" s="17" t="str">
        <f aca="false">IF(A54="","",IF(M54=0,"",_xlfn.MINIFS(Quotes!$F$2:$F$301,Quotes!$B$2:$B$301,A54,Quotes!$G$2:$G$301,"Y")))</f>
        <v/>
      </c>
      <c r="O54" s="15" t="str">
        <f aca="false">IF(A54="","",AND(E54,G54="Y"))</f>
        <v/>
      </c>
      <c r="P54" s="17" t="str">
        <f aca="false">IF(A54="","",IF(AND(O54,N54&lt;&gt;""),N54,""))</f>
        <v/>
      </c>
      <c r="Q54" s="15" t="str">
        <f aca="false">IF(A54="","",COUNTIF(Picks!$A$2:$A$301,A54)&gt;0)</f>
        <v/>
      </c>
      <c r="R54" s="13"/>
      <c r="S54" s="13"/>
      <c r="T54" s="15" t="str">
        <f aca="false">IF(A54="","",COUNTIF(Nudges!$C$2:$C$301,A54)&gt;0)</f>
        <v/>
      </c>
      <c r="U54" s="8"/>
      <c r="V54" s="8"/>
    </row>
    <row r="55" customFormat="false" ht="15" hidden="false" customHeight="false" outlineLevel="0" collapsed="false">
      <c r="A55" s="13"/>
      <c r="B55" s="18"/>
      <c r="C55" s="15" t="str">
        <f aca="false">IF(B55="","",INT((B55-Settings!$B$2)/7)+1)</f>
        <v/>
      </c>
      <c r="D55" s="13"/>
      <c r="E55" s="15" t="str">
        <f aca="false">IF(A55="","",OR(D55=Settings!$B$3,AND(Settings!$B$4&lt;&gt;"",D55=Settings!$B$4)))</f>
        <v/>
      </c>
      <c r="F55" s="13"/>
      <c r="G55" s="13"/>
      <c r="H55" s="13"/>
      <c r="I55" s="13"/>
      <c r="J55" s="13"/>
      <c r="K55" s="18"/>
      <c r="L55" s="13"/>
      <c r="M55" s="15" t="str">
        <f aca="false">IF(A55="","",COUNTIFS(Quotes!$B$2:$B$301,A55,Quotes!$G$2:$G$301,"Y"))</f>
        <v/>
      </c>
      <c r="N55" s="17" t="str">
        <f aca="false">IF(A55="","",IF(M55=0,"",_xlfn.MINIFS(Quotes!$F$2:$F$301,Quotes!$B$2:$B$301,A55,Quotes!$G$2:$G$301,"Y")))</f>
        <v/>
      </c>
      <c r="O55" s="15" t="str">
        <f aca="false">IF(A55="","",AND(E55,G55="Y"))</f>
        <v/>
      </c>
      <c r="P55" s="17" t="str">
        <f aca="false">IF(A55="","",IF(AND(O55,N55&lt;&gt;""),N55,""))</f>
        <v/>
      </c>
      <c r="Q55" s="15" t="str">
        <f aca="false">IF(A55="","",COUNTIF(Picks!$A$2:$A$301,A55)&gt;0)</f>
        <v/>
      </c>
      <c r="R55" s="13"/>
      <c r="S55" s="13"/>
      <c r="T55" s="15" t="str">
        <f aca="false">IF(A55="","",COUNTIF(Nudges!$C$2:$C$301,A55)&gt;0)</f>
        <v/>
      </c>
      <c r="U55" s="8"/>
      <c r="V55" s="8"/>
    </row>
    <row r="56" customFormat="false" ht="15" hidden="false" customHeight="false" outlineLevel="0" collapsed="false">
      <c r="A56" s="13"/>
      <c r="B56" s="18"/>
      <c r="C56" s="15" t="str">
        <f aca="false">IF(B56="","",INT((B56-Settings!$B$2)/7)+1)</f>
        <v/>
      </c>
      <c r="D56" s="13"/>
      <c r="E56" s="15" t="str">
        <f aca="false">IF(A56="","",OR(D56=Settings!$B$3,AND(Settings!$B$4&lt;&gt;"",D56=Settings!$B$4)))</f>
        <v/>
      </c>
      <c r="F56" s="13"/>
      <c r="G56" s="13"/>
      <c r="H56" s="13"/>
      <c r="I56" s="13"/>
      <c r="J56" s="13"/>
      <c r="K56" s="18"/>
      <c r="L56" s="13"/>
      <c r="M56" s="15" t="str">
        <f aca="false">IF(A56="","",COUNTIFS(Quotes!$B$2:$B$301,A56,Quotes!$G$2:$G$301,"Y"))</f>
        <v/>
      </c>
      <c r="N56" s="17" t="str">
        <f aca="false">IF(A56="","",IF(M56=0,"",_xlfn.MINIFS(Quotes!$F$2:$F$301,Quotes!$B$2:$B$301,A56,Quotes!$G$2:$G$301,"Y")))</f>
        <v/>
      </c>
      <c r="O56" s="15" t="str">
        <f aca="false">IF(A56="","",AND(E56,G56="Y"))</f>
        <v/>
      </c>
      <c r="P56" s="17" t="str">
        <f aca="false">IF(A56="","",IF(AND(O56,N56&lt;&gt;""),N56,""))</f>
        <v/>
      </c>
      <c r="Q56" s="15" t="str">
        <f aca="false">IF(A56="","",COUNTIF(Picks!$A$2:$A$301,A56)&gt;0)</f>
        <v/>
      </c>
      <c r="R56" s="13"/>
      <c r="S56" s="13"/>
      <c r="T56" s="15" t="str">
        <f aca="false">IF(A56="","",COUNTIF(Nudges!$C$2:$C$301,A56)&gt;0)</f>
        <v/>
      </c>
      <c r="U56" s="8"/>
      <c r="V56" s="8"/>
    </row>
    <row r="57" customFormat="false" ht="15" hidden="false" customHeight="false" outlineLevel="0" collapsed="false">
      <c r="A57" s="13"/>
      <c r="B57" s="18"/>
      <c r="C57" s="15" t="str">
        <f aca="false">IF(B57="","",INT((B57-Settings!$B$2)/7)+1)</f>
        <v/>
      </c>
      <c r="D57" s="13"/>
      <c r="E57" s="15" t="str">
        <f aca="false">IF(A57="","",OR(D57=Settings!$B$3,AND(Settings!$B$4&lt;&gt;"",D57=Settings!$B$4)))</f>
        <v/>
      </c>
      <c r="F57" s="13"/>
      <c r="G57" s="13"/>
      <c r="H57" s="13"/>
      <c r="I57" s="13"/>
      <c r="J57" s="13"/>
      <c r="K57" s="18"/>
      <c r="L57" s="13"/>
      <c r="M57" s="15" t="str">
        <f aca="false">IF(A57="","",COUNTIFS(Quotes!$B$2:$B$301,A57,Quotes!$G$2:$G$301,"Y"))</f>
        <v/>
      </c>
      <c r="N57" s="17" t="str">
        <f aca="false">IF(A57="","",IF(M57=0,"",_xlfn.MINIFS(Quotes!$F$2:$F$301,Quotes!$B$2:$B$301,A57,Quotes!$G$2:$G$301,"Y")))</f>
        <v/>
      </c>
      <c r="O57" s="15" t="str">
        <f aca="false">IF(A57="","",AND(E57,G57="Y"))</f>
        <v/>
      </c>
      <c r="P57" s="17" t="str">
        <f aca="false">IF(A57="","",IF(AND(O57,N57&lt;&gt;""),N57,""))</f>
        <v/>
      </c>
      <c r="Q57" s="15" t="str">
        <f aca="false">IF(A57="","",COUNTIF(Picks!$A$2:$A$301,A57)&gt;0)</f>
        <v/>
      </c>
      <c r="R57" s="13"/>
      <c r="S57" s="13"/>
      <c r="T57" s="15" t="str">
        <f aca="false">IF(A57="","",COUNTIF(Nudges!$C$2:$C$301,A57)&gt;0)</f>
        <v/>
      </c>
      <c r="U57" s="8"/>
      <c r="V57" s="8"/>
    </row>
    <row r="58" customFormat="false" ht="15" hidden="false" customHeight="false" outlineLevel="0" collapsed="false">
      <c r="A58" s="13"/>
      <c r="B58" s="18"/>
      <c r="C58" s="15" t="str">
        <f aca="false">IF(B58="","",INT((B58-Settings!$B$2)/7)+1)</f>
        <v/>
      </c>
      <c r="D58" s="13"/>
      <c r="E58" s="15" t="str">
        <f aca="false">IF(A58="","",OR(D58=Settings!$B$3,AND(Settings!$B$4&lt;&gt;"",D58=Settings!$B$4)))</f>
        <v/>
      </c>
      <c r="F58" s="13"/>
      <c r="G58" s="13"/>
      <c r="H58" s="13"/>
      <c r="I58" s="13"/>
      <c r="J58" s="13"/>
      <c r="K58" s="18"/>
      <c r="L58" s="13"/>
      <c r="M58" s="15" t="str">
        <f aca="false">IF(A58="","",COUNTIFS(Quotes!$B$2:$B$301,A58,Quotes!$G$2:$G$301,"Y"))</f>
        <v/>
      </c>
      <c r="N58" s="17" t="str">
        <f aca="false">IF(A58="","",IF(M58=0,"",_xlfn.MINIFS(Quotes!$F$2:$F$301,Quotes!$B$2:$B$301,A58,Quotes!$G$2:$G$301,"Y")))</f>
        <v/>
      </c>
      <c r="O58" s="15" t="str">
        <f aca="false">IF(A58="","",AND(E58,G58="Y"))</f>
        <v/>
      </c>
      <c r="P58" s="17" t="str">
        <f aca="false">IF(A58="","",IF(AND(O58,N58&lt;&gt;""),N58,""))</f>
        <v/>
      </c>
      <c r="Q58" s="15" t="str">
        <f aca="false">IF(A58="","",COUNTIF(Picks!$A$2:$A$301,A58)&gt;0)</f>
        <v/>
      </c>
      <c r="R58" s="13"/>
      <c r="S58" s="13"/>
      <c r="T58" s="15" t="str">
        <f aca="false">IF(A58="","",COUNTIF(Nudges!$C$2:$C$301,A58)&gt;0)</f>
        <v/>
      </c>
      <c r="U58" s="8"/>
      <c r="V58" s="8"/>
    </row>
    <row r="59" customFormat="false" ht="15" hidden="false" customHeight="false" outlineLevel="0" collapsed="false">
      <c r="A59" s="13"/>
      <c r="B59" s="18"/>
      <c r="C59" s="15" t="str">
        <f aca="false">IF(B59="","",INT((B59-Settings!$B$2)/7)+1)</f>
        <v/>
      </c>
      <c r="D59" s="13"/>
      <c r="E59" s="15" t="str">
        <f aca="false">IF(A59="","",OR(D59=Settings!$B$3,AND(Settings!$B$4&lt;&gt;"",D59=Settings!$B$4)))</f>
        <v/>
      </c>
      <c r="F59" s="13"/>
      <c r="G59" s="13"/>
      <c r="H59" s="13"/>
      <c r="I59" s="13"/>
      <c r="J59" s="13"/>
      <c r="K59" s="18"/>
      <c r="L59" s="13"/>
      <c r="M59" s="15" t="str">
        <f aca="false">IF(A59="","",COUNTIFS(Quotes!$B$2:$B$301,A59,Quotes!$G$2:$G$301,"Y"))</f>
        <v/>
      </c>
      <c r="N59" s="17" t="str">
        <f aca="false">IF(A59="","",IF(M59=0,"",_xlfn.MINIFS(Quotes!$F$2:$F$301,Quotes!$B$2:$B$301,A59,Quotes!$G$2:$G$301,"Y")))</f>
        <v/>
      </c>
      <c r="O59" s="15" t="str">
        <f aca="false">IF(A59="","",AND(E59,G59="Y"))</f>
        <v/>
      </c>
      <c r="P59" s="17" t="str">
        <f aca="false">IF(A59="","",IF(AND(O59,N59&lt;&gt;""),N59,""))</f>
        <v/>
      </c>
      <c r="Q59" s="15" t="str">
        <f aca="false">IF(A59="","",COUNTIF(Picks!$A$2:$A$301,A59)&gt;0)</f>
        <v/>
      </c>
      <c r="R59" s="13"/>
      <c r="S59" s="13"/>
      <c r="T59" s="15" t="str">
        <f aca="false">IF(A59="","",COUNTIF(Nudges!$C$2:$C$301,A59)&gt;0)</f>
        <v/>
      </c>
      <c r="U59" s="8"/>
      <c r="V59" s="8"/>
    </row>
    <row r="60" customFormat="false" ht="15" hidden="false" customHeight="false" outlineLevel="0" collapsed="false">
      <c r="A60" s="13"/>
      <c r="B60" s="18"/>
      <c r="C60" s="15" t="str">
        <f aca="false">IF(B60="","",INT((B60-Settings!$B$2)/7)+1)</f>
        <v/>
      </c>
      <c r="D60" s="13"/>
      <c r="E60" s="15" t="str">
        <f aca="false">IF(A60="","",OR(D60=Settings!$B$3,AND(Settings!$B$4&lt;&gt;"",D60=Settings!$B$4)))</f>
        <v/>
      </c>
      <c r="F60" s="13"/>
      <c r="G60" s="13"/>
      <c r="H60" s="13"/>
      <c r="I60" s="13"/>
      <c r="J60" s="13"/>
      <c r="K60" s="18"/>
      <c r="L60" s="13"/>
      <c r="M60" s="15" t="str">
        <f aca="false">IF(A60="","",COUNTIFS(Quotes!$B$2:$B$301,A60,Quotes!$G$2:$G$301,"Y"))</f>
        <v/>
      </c>
      <c r="N60" s="17" t="str">
        <f aca="false">IF(A60="","",IF(M60=0,"",_xlfn.MINIFS(Quotes!$F$2:$F$301,Quotes!$B$2:$B$301,A60,Quotes!$G$2:$G$301,"Y")))</f>
        <v/>
      </c>
      <c r="O60" s="15" t="str">
        <f aca="false">IF(A60="","",AND(E60,G60="Y"))</f>
        <v/>
      </c>
      <c r="P60" s="17" t="str">
        <f aca="false">IF(A60="","",IF(AND(O60,N60&lt;&gt;""),N60,""))</f>
        <v/>
      </c>
      <c r="Q60" s="15" t="str">
        <f aca="false">IF(A60="","",COUNTIF(Picks!$A$2:$A$301,A60)&gt;0)</f>
        <v/>
      </c>
      <c r="R60" s="13"/>
      <c r="S60" s="13"/>
      <c r="T60" s="15" t="str">
        <f aca="false">IF(A60="","",COUNTIF(Nudges!$C$2:$C$301,A60)&gt;0)</f>
        <v/>
      </c>
      <c r="U60" s="8"/>
      <c r="V60" s="8"/>
    </row>
    <row r="61" customFormat="false" ht="15" hidden="false" customHeight="false" outlineLevel="0" collapsed="false">
      <c r="A61" s="13"/>
      <c r="B61" s="18"/>
      <c r="C61" s="15" t="str">
        <f aca="false">IF(B61="","",INT((B61-Settings!$B$2)/7)+1)</f>
        <v/>
      </c>
      <c r="D61" s="13"/>
      <c r="E61" s="15" t="str">
        <f aca="false">IF(A61="","",OR(D61=Settings!$B$3,AND(Settings!$B$4&lt;&gt;"",D61=Settings!$B$4)))</f>
        <v/>
      </c>
      <c r="F61" s="13"/>
      <c r="G61" s="13"/>
      <c r="H61" s="13"/>
      <c r="I61" s="13"/>
      <c r="J61" s="13"/>
      <c r="K61" s="18"/>
      <c r="L61" s="13"/>
      <c r="M61" s="15" t="str">
        <f aca="false">IF(A61="","",COUNTIFS(Quotes!$B$2:$B$301,A61,Quotes!$G$2:$G$301,"Y"))</f>
        <v/>
      </c>
      <c r="N61" s="17" t="str">
        <f aca="false">IF(A61="","",IF(M61=0,"",_xlfn.MINIFS(Quotes!$F$2:$F$301,Quotes!$B$2:$B$301,A61,Quotes!$G$2:$G$301,"Y")))</f>
        <v/>
      </c>
      <c r="O61" s="15" t="str">
        <f aca="false">IF(A61="","",AND(E61,G61="Y"))</f>
        <v/>
      </c>
      <c r="P61" s="17" t="str">
        <f aca="false">IF(A61="","",IF(AND(O61,N61&lt;&gt;""),N61,""))</f>
        <v/>
      </c>
      <c r="Q61" s="15" t="str">
        <f aca="false">IF(A61="","",COUNTIF(Picks!$A$2:$A$301,A61)&gt;0)</f>
        <v/>
      </c>
      <c r="R61" s="13"/>
      <c r="S61" s="13"/>
      <c r="T61" s="15" t="str">
        <f aca="false">IF(A61="","",COUNTIF(Nudges!$C$2:$C$301,A61)&gt;0)</f>
        <v/>
      </c>
      <c r="U61" s="8"/>
      <c r="V61" s="8"/>
    </row>
    <row r="62" customFormat="false" ht="15" hidden="false" customHeight="false" outlineLevel="0" collapsed="false">
      <c r="A62" s="13"/>
      <c r="B62" s="18"/>
      <c r="C62" s="15" t="str">
        <f aca="false">IF(B62="","",INT((B62-Settings!$B$2)/7)+1)</f>
        <v/>
      </c>
      <c r="D62" s="13"/>
      <c r="E62" s="15" t="str">
        <f aca="false">IF(A62="","",OR(D62=Settings!$B$3,AND(Settings!$B$4&lt;&gt;"",D62=Settings!$B$4)))</f>
        <v/>
      </c>
      <c r="F62" s="13"/>
      <c r="G62" s="13"/>
      <c r="H62" s="13"/>
      <c r="I62" s="13"/>
      <c r="J62" s="13"/>
      <c r="K62" s="18"/>
      <c r="L62" s="13"/>
      <c r="M62" s="15" t="str">
        <f aca="false">IF(A62="","",COUNTIFS(Quotes!$B$2:$B$301,A62,Quotes!$G$2:$G$301,"Y"))</f>
        <v/>
      </c>
      <c r="N62" s="17" t="str">
        <f aca="false">IF(A62="","",IF(M62=0,"",_xlfn.MINIFS(Quotes!$F$2:$F$301,Quotes!$B$2:$B$301,A62,Quotes!$G$2:$G$301,"Y")))</f>
        <v/>
      </c>
      <c r="O62" s="15" t="str">
        <f aca="false">IF(A62="","",AND(E62,G62="Y"))</f>
        <v/>
      </c>
      <c r="P62" s="17" t="str">
        <f aca="false">IF(A62="","",IF(AND(O62,N62&lt;&gt;""),N62,""))</f>
        <v/>
      </c>
      <c r="Q62" s="15" t="str">
        <f aca="false">IF(A62="","",COUNTIF(Picks!$A$2:$A$301,A62)&gt;0)</f>
        <v/>
      </c>
      <c r="R62" s="13"/>
      <c r="S62" s="13"/>
      <c r="T62" s="15" t="str">
        <f aca="false">IF(A62="","",COUNTIF(Nudges!$C$2:$C$301,A62)&gt;0)</f>
        <v/>
      </c>
      <c r="U62" s="8"/>
      <c r="V62" s="8"/>
    </row>
    <row r="63" customFormat="false" ht="15" hidden="false" customHeight="false" outlineLevel="0" collapsed="false">
      <c r="A63" s="13"/>
      <c r="B63" s="18"/>
      <c r="C63" s="15" t="str">
        <f aca="false">IF(B63="","",INT((B63-Settings!$B$2)/7)+1)</f>
        <v/>
      </c>
      <c r="D63" s="13"/>
      <c r="E63" s="15" t="str">
        <f aca="false">IF(A63="","",OR(D63=Settings!$B$3,AND(Settings!$B$4&lt;&gt;"",D63=Settings!$B$4)))</f>
        <v/>
      </c>
      <c r="F63" s="13"/>
      <c r="G63" s="13"/>
      <c r="H63" s="13"/>
      <c r="I63" s="13"/>
      <c r="J63" s="13"/>
      <c r="K63" s="18"/>
      <c r="L63" s="13"/>
      <c r="M63" s="15" t="str">
        <f aca="false">IF(A63="","",COUNTIFS(Quotes!$B$2:$B$301,A63,Quotes!$G$2:$G$301,"Y"))</f>
        <v/>
      </c>
      <c r="N63" s="17" t="str">
        <f aca="false">IF(A63="","",IF(M63=0,"",_xlfn.MINIFS(Quotes!$F$2:$F$301,Quotes!$B$2:$B$301,A63,Quotes!$G$2:$G$301,"Y")))</f>
        <v/>
      </c>
      <c r="O63" s="15" t="str">
        <f aca="false">IF(A63="","",AND(E63,G63="Y"))</f>
        <v/>
      </c>
      <c r="P63" s="17" t="str">
        <f aca="false">IF(A63="","",IF(AND(O63,N63&lt;&gt;""),N63,""))</f>
        <v/>
      </c>
      <c r="Q63" s="15" t="str">
        <f aca="false">IF(A63="","",COUNTIF(Picks!$A$2:$A$301,A63)&gt;0)</f>
        <v/>
      </c>
      <c r="R63" s="13"/>
      <c r="S63" s="13"/>
      <c r="T63" s="15" t="str">
        <f aca="false">IF(A63="","",COUNTIF(Nudges!$C$2:$C$301,A63)&gt;0)</f>
        <v/>
      </c>
      <c r="U63" s="8"/>
      <c r="V63" s="8"/>
    </row>
    <row r="64" customFormat="false" ht="15" hidden="false" customHeight="false" outlineLevel="0" collapsed="false">
      <c r="A64" s="13"/>
      <c r="B64" s="18"/>
      <c r="C64" s="15" t="str">
        <f aca="false">IF(B64="","",INT((B64-Settings!$B$2)/7)+1)</f>
        <v/>
      </c>
      <c r="D64" s="13"/>
      <c r="E64" s="15" t="str">
        <f aca="false">IF(A64="","",OR(D64=Settings!$B$3,AND(Settings!$B$4&lt;&gt;"",D64=Settings!$B$4)))</f>
        <v/>
      </c>
      <c r="F64" s="13"/>
      <c r="G64" s="13"/>
      <c r="H64" s="13"/>
      <c r="I64" s="13"/>
      <c r="J64" s="13"/>
      <c r="K64" s="18"/>
      <c r="L64" s="13"/>
      <c r="M64" s="15" t="str">
        <f aca="false">IF(A64="","",COUNTIFS(Quotes!$B$2:$B$301,A64,Quotes!$G$2:$G$301,"Y"))</f>
        <v/>
      </c>
      <c r="N64" s="17" t="str">
        <f aca="false">IF(A64="","",IF(M64=0,"",_xlfn.MINIFS(Quotes!$F$2:$F$301,Quotes!$B$2:$B$301,A64,Quotes!$G$2:$G$301,"Y")))</f>
        <v/>
      </c>
      <c r="O64" s="15" t="str">
        <f aca="false">IF(A64="","",AND(E64,G64="Y"))</f>
        <v/>
      </c>
      <c r="P64" s="17" t="str">
        <f aca="false">IF(A64="","",IF(AND(O64,N64&lt;&gt;""),N64,""))</f>
        <v/>
      </c>
      <c r="Q64" s="15" t="str">
        <f aca="false">IF(A64="","",COUNTIF(Picks!$A$2:$A$301,A64)&gt;0)</f>
        <v/>
      </c>
      <c r="R64" s="13"/>
      <c r="S64" s="13"/>
      <c r="T64" s="15" t="str">
        <f aca="false">IF(A64="","",COUNTIF(Nudges!$C$2:$C$301,A64)&gt;0)</f>
        <v/>
      </c>
      <c r="U64" s="8"/>
      <c r="V64" s="8"/>
    </row>
    <row r="65" customFormat="false" ht="15" hidden="false" customHeight="false" outlineLevel="0" collapsed="false">
      <c r="A65" s="13"/>
      <c r="B65" s="18"/>
      <c r="C65" s="15" t="str">
        <f aca="false">IF(B65="","",INT((B65-Settings!$B$2)/7)+1)</f>
        <v/>
      </c>
      <c r="D65" s="13"/>
      <c r="E65" s="15" t="str">
        <f aca="false">IF(A65="","",OR(D65=Settings!$B$3,AND(Settings!$B$4&lt;&gt;"",D65=Settings!$B$4)))</f>
        <v/>
      </c>
      <c r="F65" s="13"/>
      <c r="G65" s="13"/>
      <c r="H65" s="13"/>
      <c r="I65" s="13"/>
      <c r="J65" s="13"/>
      <c r="K65" s="18"/>
      <c r="L65" s="13"/>
      <c r="M65" s="15" t="str">
        <f aca="false">IF(A65="","",COUNTIFS(Quotes!$B$2:$B$301,A65,Quotes!$G$2:$G$301,"Y"))</f>
        <v/>
      </c>
      <c r="N65" s="17" t="str">
        <f aca="false">IF(A65="","",IF(M65=0,"",_xlfn.MINIFS(Quotes!$F$2:$F$301,Quotes!$B$2:$B$301,A65,Quotes!$G$2:$G$301,"Y")))</f>
        <v/>
      </c>
      <c r="O65" s="15" t="str">
        <f aca="false">IF(A65="","",AND(E65,G65="Y"))</f>
        <v/>
      </c>
      <c r="P65" s="17" t="str">
        <f aca="false">IF(A65="","",IF(AND(O65,N65&lt;&gt;""),N65,""))</f>
        <v/>
      </c>
      <c r="Q65" s="15" t="str">
        <f aca="false">IF(A65="","",COUNTIF(Picks!$A$2:$A$301,A65)&gt;0)</f>
        <v/>
      </c>
      <c r="R65" s="13"/>
      <c r="S65" s="13"/>
      <c r="T65" s="15" t="str">
        <f aca="false">IF(A65="","",COUNTIF(Nudges!$C$2:$C$301,A65)&gt;0)</f>
        <v/>
      </c>
      <c r="U65" s="8"/>
      <c r="V65" s="8"/>
    </row>
    <row r="66" customFormat="false" ht="15" hidden="false" customHeight="false" outlineLevel="0" collapsed="false">
      <c r="A66" s="13"/>
      <c r="B66" s="18"/>
      <c r="C66" s="15" t="str">
        <f aca="false">IF(B66="","",INT((B66-Settings!$B$2)/7)+1)</f>
        <v/>
      </c>
      <c r="D66" s="13"/>
      <c r="E66" s="15" t="str">
        <f aca="false">IF(A66="","",OR(D66=Settings!$B$3,AND(Settings!$B$4&lt;&gt;"",D66=Settings!$B$4)))</f>
        <v/>
      </c>
      <c r="F66" s="13"/>
      <c r="G66" s="13"/>
      <c r="H66" s="13"/>
      <c r="I66" s="13"/>
      <c r="J66" s="13"/>
      <c r="K66" s="18"/>
      <c r="L66" s="13"/>
      <c r="M66" s="15" t="str">
        <f aca="false">IF(A66="","",COUNTIFS(Quotes!$B$2:$B$301,A66,Quotes!$G$2:$G$301,"Y"))</f>
        <v/>
      </c>
      <c r="N66" s="17" t="str">
        <f aca="false">IF(A66="","",IF(M66=0,"",_xlfn.MINIFS(Quotes!$F$2:$F$301,Quotes!$B$2:$B$301,A66,Quotes!$G$2:$G$301,"Y")))</f>
        <v/>
      </c>
      <c r="O66" s="15" t="str">
        <f aca="false">IF(A66="","",AND(E66,G66="Y"))</f>
        <v/>
      </c>
      <c r="P66" s="17" t="str">
        <f aca="false">IF(A66="","",IF(AND(O66,N66&lt;&gt;""),N66,""))</f>
        <v/>
      </c>
      <c r="Q66" s="15" t="str">
        <f aca="false">IF(A66="","",COUNTIF(Picks!$A$2:$A$301,A66)&gt;0)</f>
        <v/>
      </c>
      <c r="R66" s="13"/>
      <c r="S66" s="13"/>
      <c r="T66" s="15" t="str">
        <f aca="false">IF(A66="","",COUNTIF(Nudges!$C$2:$C$301,A66)&gt;0)</f>
        <v/>
      </c>
      <c r="U66" s="8"/>
      <c r="V66" s="8"/>
    </row>
    <row r="67" customFormat="false" ht="15" hidden="false" customHeight="false" outlineLevel="0" collapsed="false">
      <c r="A67" s="13"/>
      <c r="B67" s="18"/>
      <c r="C67" s="15" t="str">
        <f aca="false">IF(B67="","",INT((B67-Settings!$B$2)/7)+1)</f>
        <v/>
      </c>
      <c r="D67" s="13"/>
      <c r="E67" s="15" t="str">
        <f aca="false">IF(A67="","",OR(D67=Settings!$B$3,AND(Settings!$B$4&lt;&gt;"",D67=Settings!$B$4)))</f>
        <v/>
      </c>
      <c r="F67" s="13"/>
      <c r="G67" s="13"/>
      <c r="H67" s="13"/>
      <c r="I67" s="13"/>
      <c r="J67" s="13"/>
      <c r="K67" s="18"/>
      <c r="L67" s="13"/>
      <c r="M67" s="15" t="str">
        <f aca="false">IF(A67="","",COUNTIFS(Quotes!$B$2:$B$301,A67,Quotes!$G$2:$G$301,"Y"))</f>
        <v/>
      </c>
      <c r="N67" s="17" t="str">
        <f aca="false">IF(A67="","",IF(M67=0,"",_xlfn.MINIFS(Quotes!$F$2:$F$301,Quotes!$B$2:$B$301,A67,Quotes!$G$2:$G$301,"Y")))</f>
        <v/>
      </c>
      <c r="O67" s="15" t="str">
        <f aca="false">IF(A67="","",AND(E67,G67="Y"))</f>
        <v/>
      </c>
      <c r="P67" s="17" t="str">
        <f aca="false">IF(A67="","",IF(AND(O67,N67&lt;&gt;""),N67,""))</f>
        <v/>
      </c>
      <c r="Q67" s="15" t="str">
        <f aca="false">IF(A67="","",COUNTIF(Picks!$A$2:$A$301,A67)&gt;0)</f>
        <v/>
      </c>
      <c r="R67" s="13"/>
      <c r="S67" s="13"/>
      <c r="T67" s="15" t="str">
        <f aca="false">IF(A67="","",COUNTIF(Nudges!$C$2:$C$301,A67)&gt;0)</f>
        <v/>
      </c>
      <c r="U67" s="8"/>
      <c r="V67" s="8"/>
    </row>
    <row r="68" customFormat="false" ht="15" hidden="false" customHeight="false" outlineLevel="0" collapsed="false">
      <c r="A68" s="13"/>
      <c r="B68" s="18"/>
      <c r="C68" s="15" t="str">
        <f aca="false">IF(B68="","",INT((B68-Settings!$B$2)/7)+1)</f>
        <v/>
      </c>
      <c r="D68" s="13"/>
      <c r="E68" s="15" t="str">
        <f aca="false">IF(A68="","",OR(D68=Settings!$B$3,AND(Settings!$B$4&lt;&gt;"",D68=Settings!$B$4)))</f>
        <v/>
      </c>
      <c r="F68" s="13"/>
      <c r="G68" s="13"/>
      <c r="H68" s="13"/>
      <c r="I68" s="13"/>
      <c r="J68" s="13"/>
      <c r="K68" s="18"/>
      <c r="L68" s="13"/>
      <c r="M68" s="15" t="str">
        <f aca="false">IF(A68="","",COUNTIFS(Quotes!$B$2:$B$301,A68,Quotes!$G$2:$G$301,"Y"))</f>
        <v/>
      </c>
      <c r="N68" s="17" t="str">
        <f aca="false">IF(A68="","",IF(M68=0,"",_xlfn.MINIFS(Quotes!$F$2:$F$301,Quotes!$B$2:$B$301,A68,Quotes!$G$2:$G$301,"Y")))</f>
        <v/>
      </c>
      <c r="O68" s="15" t="str">
        <f aca="false">IF(A68="","",AND(E68,G68="Y"))</f>
        <v/>
      </c>
      <c r="P68" s="17" t="str">
        <f aca="false">IF(A68="","",IF(AND(O68,N68&lt;&gt;""),N68,""))</f>
        <v/>
      </c>
      <c r="Q68" s="15" t="str">
        <f aca="false">IF(A68="","",COUNTIF(Picks!$A$2:$A$301,A68)&gt;0)</f>
        <v/>
      </c>
      <c r="R68" s="13"/>
      <c r="S68" s="13"/>
      <c r="T68" s="15" t="str">
        <f aca="false">IF(A68="","",COUNTIF(Nudges!$C$2:$C$301,A68)&gt;0)</f>
        <v/>
      </c>
      <c r="U68" s="8"/>
      <c r="V68" s="8"/>
    </row>
    <row r="69" customFormat="false" ht="15" hidden="false" customHeight="false" outlineLevel="0" collapsed="false">
      <c r="A69" s="13"/>
      <c r="B69" s="18"/>
      <c r="C69" s="15" t="str">
        <f aca="false">IF(B69="","",INT((B69-Settings!$B$2)/7)+1)</f>
        <v/>
      </c>
      <c r="D69" s="13"/>
      <c r="E69" s="15" t="str">
        <f aca="false">IF(A69="","",OR(D69=Settings!$B$3,AND(Settings!$B$4&lt;&gt;"",D69=Settings!$B$4)))</f>
        <v/>
      </c>
      <c r="F69" s="13"/>
      <c r="G69" s="13"/>
      <c r="H69" s="13"/>
      <c r="I69" s="13"/>
      <c r="J69" s="13"/>
      <c r="K69" s="18"/>
      <c r="L69" s="13"/>
      <c r="M69" s="15" t="str">
        <f aca="false">IF(A69="","",COUNTIFS(Quotes!$B$2:$B$301,A69,Quotes!$G$2:$G$301,"Y"))</f>
        <v/>
      </c>
      <c r="N69" s="17" t="str">
        <f aca="false">IF(A69="","",IF(M69=0,"",_xlfn.MINIFS(Quotes!$F$2:$F$301,Quotes!$B$2:$B$301,A69,Quotes!$G$2:$G$301,"Y")))</f>
        <v/>
      </c>
      <c r="O69" s="15" t="str">
        <f aca="false">IF(A69="","",AND(E69,G69="Y"))</f>
        <v/>
      </c>
      <c r="P69" s="17" t="str">
        <f aca="false">IF(A69="","",IF(AND(O69,N69&lt;&gt;""),N69,""))</f>
        <v/>
      </c>
      <c r="Q69" s="15" t="str">
        <f aca="false">IF(A69="","",COUNTIF(Picks!$A$2:$A$301,A69)&gt;0)</f>
        <v/>
      </c>
      <c r="R69" s="13"/>
      <c r="S69" s="13"/>
      <c r="T69" s="15" t="str">
        <f aca="false">IF(A69="","",COUNTIF(Nudges!$C$2:$C$301,A69)&gt;0)</f>
        <v/>
      </c>
      <c r="U69" s="8"/>
      <c r="V69" s="8"/>
    </row>
    <row r="70" customFormat="false" ht="15" hidden="false" customHeight="false" outlineLevel="0" collapsed="false">
      <c r="A70" s="13"/>
      <c r="B70" s="18"/>
      <c r="C70" s="15" t="str">
        <f aca="false">IF(B70="","",INT((B70-Settings!$B$2)/7)+1)</f>
        <v/>
      </c>
      <c r="D70" s="13"/>
      <c r="E70" s="15" t="str">
        <f aca="false">IF(A70="","",OR(D70=Settings!$B$3,AND(Settings!$B$4&lt;&gt;"",D70=Settings!$B$4)))</f>
        <v/>
      </c>
      <c r="F70" s="13"/>
      <c r="G70" s="13"/>
      <c r="H70" s="13"/>
      <c r="I70" s="13"/>
      <c r="J70" s="13"/>
      <c r="K70" s="18"/>
      <c r="L70" s="13"/>
      <c r="M70" s="15" t="str">
        <f aca="false">IF(A70="","",COUNTIFS(Quotes!$B$2:$B$301,A70,Quotes!$G$2:$G$301,"Y"))</f>
        <v/>
      </c>
      <c r="N70" s="17" t="str">
        <f aca="false">IF(A70="","",IF(M70=0,"",_xlfn.MINIFS(Quotes!$F$2:$F$301,Quotes!$B$2:$B$301,A70,Quotes!$G$2:$G$301,"Y")))</f>
        <v/>
      </c>
      <c r="O70" s="15" t="str">
        <f aca="false">IF(A70="","",AND(E70,G70="Y"))</f>
        <v/>
      </c>
      <c r="P70" s="17" t="str">
        <f aca="false">IF(A70="","",IF(AND(O70,N70&lt;&gt;""),N70,""))</f>
        <v/>
      </c>
      <c r="Q70" s="15" t="str">
        <f aca="false">IF(A70="","",COUNTIF(Picks!$A$2:$A$301,A70)&gt;0)</f>
        <v/>
      </c>
      <c r="R70" s="13"/>
      <c r="S70" s="13"/>
      <c r="T70" s="15" t="str">
        <f aca="false">IF(A70="","",COUNTIF(Nudges!$C$2:$C$301,A70)&gt;0)</f>
        <v/>
      </c>
      <c r="U70" s="8"/>
      <c r="V70" s="8"/>
    </row>
    <row r="71" customFormat="false" ht="15" hidden="false" customHeight="false" outlineLevel="0" collapsed="false">
      <c r="A71" s="13"/>
      <c r="B71" s="18"/>
      <c r="C71" s="15" t="str">
        <f aca="false">IF(B71="","",INT((B71-Settings!$B$2)/7)+1)</f>
        <v/>
      </c>
      <c r="D71" s="13"/>
      <c r="E71" s="15" t="str">
        <f aca="false">IF(A71="","",OR(D71=Settings!$B$3,AND(Settings!$B$4&lt;&gt;"",D71=Settings!$B$4)))</f>
        <v/>
      </c>
      <c r="F71" s="13"/>
      <c r="G71" s="13"/>
      <c r="H71" s="13"/>
      <c r="I71" s="13"/>
      <c r="J71" s="13"/>
      <c r="K71" s="18"/>
      <c r="L71" s="13"/>
      <c r="M71" s="15" t="str">
        <f aca="false">IF(A71="","",COUNTIFS(Quotes!$B$2:$B$301,A71,Quotes!$G$2:$G$301,"Y"))</f>
        <v/>
      </c>
      <c r="N71" s="17" t="str">
        <f aca="false">IF(A71="","",IF(M71=0,"",_xlfn.MINIFS(Quotes!$F$2:$F$301,Quotes!$B$2:$B$301,A71,Quotes!$G$2:$G$301,"Y")))</f>
        <v/>
      </c>
      <c r="O71" s="15" t="str">
        <f aca="false">IF(A71="","",AND(E71,G71="Y"))</f>
        <v/>
      </c>
      <c r="P71" s="17" t="str">
        <f aca="false">IF(A71="","",IF(AND(O71,N71&lt;&gt;""),N71,""))</f>
        <v/>
      </c>
      <c r="Q71" s="15" t="str">
        <f aca="false">IF(A71="","",COUNTIF(Picks!$A$2:$A$301,A71)&gt;0)</f>
        <v/>
      </c>
      <c r="R71" s="13"/>
      <c r="S71" s="13"/>
      <c r="T71" s="15" t="str">
        <f aca="false">IF(A71="","",COUNTIF(Nudges!$C$2:$C$301,A71)&gt;0)</f>
        <v/>
      </c>
      <c r="U71" s="8"/>
      <c r="V71" s="8"/>
    </row>
    <row r="72" customFormat="false" ht="15" hidden="false" customHeight="false" outlineLevel="0" collapsed="false">
      <c r="A72" s="13"/>
      <c r="B72" s="18"/>
      <c r="C72" s="15" t="str">
        <f aca="false">IF(B72="","",INT((B72-Settings!$B$2)/7)+1)</f>
        <v/>
      </c>
      <c r="D72" s="13"/>
      <c r="E72" s="15" t="str">
        <f aca="false">IF(A72="","",OR(D72=Settings!$B$3,AND(Settings!$B$4&lt;&gt;"",D72=Settings!$B$4)))</f>
        <v/>
      </c>
      <c r="F72" s="13"/>
      <c r="G72" s="13"/>
      <c r="H72" s="13"/>
      <c r="I72" s="13"/>
      <c r="J72" s="13"/>
      <c r="K72" s="18"/>
      <c r="L72" s="13"/>
      <c r="M72" s="15" t="str">
        <f aca="false">IF(A72="","",COUNTIFS(Quotes!$B$2:$B$301,A72,Quotes!$G$2:$G$301,"Y"))</f>
        <v/>
      </c>
      <c r="N72" s="17" t="str">
        <f aca="false">IF(A72="","",IF(M72=0,"",_xlfn.MINIFS(Quotes!$F$2:$F$301,Quotes!$B$2:$B$301,A72,Quotes!$G$2:$G$301,"Y")))</f>
        <v/>
      </c>
      <c r="O72" s="15" t="str">
        <f aca="false">IF(A72="","",AND(E72,G72="Y"))</f>
        <v/>
      </c>
      <c r="P72" s="17" t="str">
        <f aca="false">IF(A72="","",IF(AND(O72,N72&lt;&gt;""),N72,""))</f>
        <v/>
      </c>
      <c r="Q72" s="15" t="str">
        <f aca="false">IF(A72="","",COUNTIF(Picks!$A$2:$A$301,A72)&gt;0)</f>
        <v/>
      </c>
      <c r="R72" s="13"/>
      <c r="S72" s="13"/>
      <c r="T72" s="15" t="str">
        <f aca="false">IF(A72="","",COUNTIF(Nudges!$C$2:$C$301,A72)&gt;0)</f>
        <v/>
      </c>
      <c r="U72" s="8"/>
      <c r="V72" s="8"/>
    </row>
    <row r="73" customFormat="false" ht="15" hidden="false" customHeight="false" outlineLevel="0" collapsed="false">
      <c r="A73" s="13"/>
      <c r="B73" s="18"/>
      <c r="C73" s="15" t="str">
        <f aca="false">IF(B73="","",INT((B73-Settings!$B$2)/7)+1)</f>
        <v/>
      </c>
      <c r="D73" s="13"/>
      <c r="E73" s="15" t="str">
        <f aca="false">IF(A73="","",OR(D73=Settings!$B$3,AND(Settings!$B$4&lt;&gt;"",D73=Settings!$B$4)))</f>
        <v/>
      </c>
      <c r="F73" s="13"/>
      <c r="G73" s="13"/>
      <c r="H73" s="13"/>
      <c r="I73" s="13"/>
      <c r="J73" s="13"/>
      <c r="K73" s="18"/>
      <c r="L73" s="13"/>
      <c r="M73" s="15" t="str">
        <f aca="false">IF(A73="","",COUNTIFS(Quotes!$B$2:$B$301,A73,Quotes!$G$2:$G$301,"Y"))</f>
        <v/>
      </c>
      <c r="N73" s="17" t="str">
        <f aca="false">IF(A73="","",IF(M73=0,"",_xlfn.MINIFS(Quotes!$F$2:$F$301,Quotes!$B$2:$B$301,A73,Quotes!$G$2:$G$301,"Y")))</f>
        <v/>
      </c>
      <c r="O73" s="15" t="str">
        <f aca="false">IF(A73="","",AND(E73,G73="Y"))</f>
        <v/>
      </c>
      <c r="P73" s="17" t="str">
        <f aca="false">IF(A73="","",IF(AND(O73,N73&lt;&gt;""),N73,""))</f>
        <v/>
      </c>
      <c r="Q73" s="15" t="str">
        <f aca="false">IF(A73="","",COUNTIF(Picks!$A$2:$A$301,A73)&gt;0)</f>
        <v/>
      </c>
      <c r="R73" s="13"/>
      <c r="S73" s="13"/>
      <c r="T73" s="15" t="str">
        <f aca="false">IF(A73="","",COUNTIF(Nudges!$C$2:$C$301,A73)&gt;0)</f>
        <v/>
      </c>
      <c r="U73" s="8"/>
      <c r="V73" s="8"/>
    </row>
    <row r="74" customFormat="false" ht="15" hidden="false" customHeight="false" outlineLevel="0" collapsed="false">
      <c r="A74" s="13"/>
      <c r="B74" s="18"/>
      <c r="C74" s="15" t="str">
        <f aca="false">IF(B74="","",INT((B74-Settings!$B$2)/7)+1)</f>
        <v/>
      </c>
      <c r="D74" s="13"/>
      <c r="E74" s="15" t="str">
        <f aca="false">IF(A74="","",OR(D74=Settings!$B$3,AND(Settings!$B$4&lt;&gt;"",D74=Settings!$B$4)))</f>
        <v/>
      </c>
      <c r="F74" s="13"/>
      <c r="G74" s="13"/>
      <c r="H74" s="13"/>
      <c r="I74" s="13"/>
      <c r="J74" s="13"/>
      <c r="K74" s="18"/>
      <c r="L74" s="13"/>
      <c r="M74" s="15" t="str">
        <f aca="false">IF(A74="","",COUNTIFS(Quotes!$B$2:$B$301,A74,Quotes!$G$2:$G$301,"Y"))</f>
        <v/>
      </c>
      <c r="N74" s="17" t="str">
        <f aca="false">IF(A74="","",IF(M74=0,"",_xlfn.MINIFS(Quotes!$F$2:$F$301,Quotes!$B$2:$B$301,A74,Quotes!$G$2:$G$301,"Y")))</f>
        <v/>
      </c>
      <c r="O74" s="15" t="str">
        <f aca="false">IF(A74="","",AND(E74,G74="Y"))</f>
        <v/>
      </c>
      <c r="P74" s="17" t="str">
        <f aca="false">IF(A74="","",IF(AND(O74,N74&lt;&gt;""),N74,""))</f>
        <v/>
      </c>
      <c r="Q74" s="15" t="str">
        <f aca="false">IF(A74="","",COUNTIF(Picks!$A$2:$A$301,A74)&gt;0)</f>
        <v/>
      </c>
      <c r="R74" s="13"/>
      <c r="S74" s="13"/>
      <c r="T74" s="15" t="str">
        <f aca="false">IF(A74="","",COUNTIF(Nudges!$C$2:$C$301,A74)&gt;0)</f>
        <v/>
      </c>
      <c r="U74" s="8"/>
      <c r="V74" s="8"/>
    </row>
    <row r="75" customFormat="false" ht="15" hidden="false" customHeight="false" outlineLevel="0" collapsed="false">
      <c r="A75" s="13"/>
      <c r="B75" s="18"/>
      <c r="C75" s="15" t="str">
        <f aca="false">IF(B75="","",INT((B75-Settings!$B$2)/7)+1)</f>
        <v/>
      </c>
      <c r="D75" s="13"/>
      <c r="E75" s="15" t="str">
        <f aca="false">IF(A75="","",OR(D75=Settings!$B$3,AND(Settings!$B$4&lt;&gt;"",D75=Settings!$B$4)))</f>
        <v/>
      </c>
      <c r="F75" s="13"/>
      <c r="G75" s="13"/>
      <c r="H75" s="13"/>
      <c r="I75" s="13"/>
      <c r="J75" s="13"/>
      <c r="K75" s="18"/>
      <c r="L75" s="13"/>
      <c r="M75" s="15" t="str">
        <f aca="false">IF(A75="","",COUNTIFS(Quotes!$B$2:$B$301,A75,Quotes!$G$2:$G$301,"Y"))</f>
        <v/>
      </c>
      <c r="N75" s="17" t="str">
        <f aca="false">IF(A75="","",IF(M75=0,"",_xlfn.MINIFS(Quotes!$F$2:$F$301,Quotes!$B$2:$B$301,A75,Quotes!$G$2:$G$301,"Y")))</f>
        <v/>
      </c>
      <c r="O75" s="15" t="str">
        <f aca="false">IF(A75="","",AND(E75,G75="Y"))</f>
        <v/>
      </c>
      <c r="P75" s="17" t="str">
        <f aca="false">IF(A75="","",IF(AND(O75,N75&lt;&gt;""),N75,""))</f>
        <v/>
      </c>
      <c r="Q75" s="15" t="str">
        <f aca="false">IF(A75="","",COUNTIF(Picks!$A$2:$A$301,A75)&gt;0)</f>
        <v/>
      </c>
      <c r="R75" s="13"/>
      <c r="S75" s="13"/>
      <c r="T75" s="15" t="str">
        <f aca="false">IF(A75="","",COUNTIF(Nudges!$C$2:$C$301,A75)&gt;0)</f>
        <v/>
      </c>
      <c r="U75" s="8"/>
      <c r="V75" s="8"/>
    </row>
    <row r="76" customFormat="false" ht="15" hidden="false" customHeight="false" outlineLevel="0" collapsed="false">
      <c r="A76" s="13"/>
      <c r="B76" s="18"/>
      <c r="C76" s="15" t="str">
        <f aca="false">IF(B76="","",INT((B76-Settings!$B$2)/7)+1)</f>
        <v/>
      </c>
      <c r="D76" s="13"/>
      <c r="E76" s="15" t="str">
        <f aca="false">IF(A76="","",OR(D76=Settings!$B$3,AND(Settings!$B$4&lt;&gt;"",D76=Settings!$B$4)))</f>
        <v/>
      </c>
      <c r="F76" s="13"/>
      <c r="G76" s="13"/>
      <c r="H76" s="13"/>
      <c r="I76" s="13"/>
      <c r="J76" s="13"/>
      <c r="K76" s="18"/>
      <c r="L76" s="13"/>
      <c r="M76" s="15" t="str">
        <f aca="false">IF(A76="","",COUNTIFS(Quotes!$B$2:$B$301,A76,Quotes!$G$2:$G$301,"Y"))</f>
        <v/>
      </c>
      <c r="N76" s="17" t="str">
        <f aca="false">IF(A76="","",IF(M76=0,"",_xlfn.MINIFS(Quotes!$F$2:$F$301,Quotes!$B$2:$B$301,A76,Quotes!$G$2:$G$301,"Y")))</f>
        <v/>
      </c>
      <c r="O76" s="15" t="str">
        <f aca="false">IF(A76="","",AND(E76,G76="Y"))</f>
        <v/>
      </c>
      <c r="P76" s="17" t="str">
        <f aca="false">IF(A76="","",IF(AND(O76,N76&lt;&gt;""),N76,""))</f>
        <v/>
      </c>
      <c r="Q76" s="15" t="str">
        <f aca="false">IF(A76="","",COUNTIF(Picks!$A$2:$A$301,A76)&gt;0)</f>
        <v/>
      </c>
      <c r="R76" s="13"/>
      <c r="S76" s="13"/>
      <c r="T76" s="15" t="str">
        <f aca="false">IF(A76="","",COUNTIF(Nudges!$C$2:$C$301,A76)&gt;0)</f>
        <v/>
      </c>
      <c r="U76" s="8"/>
      <c r="V76" s="8"/>
    </row>
    <row r="77" customFormat="false" ht="15" hidden="false" customHeight="false" outlineLevel="0" collapsed="false">
      <c r="A77" s="13"/>
      <c r="B77" s="18"/>
      <c r="C77" s="15" t="str">
        <f aca="false">IF(B77="","",INT((B77-Settings!$B$2)/7)+1)</f>
        <v/>
      </c>
      <c r="D77" s="13"/>
      <c r="E77" s="15" t="str">
        <f aca="false">IF(A77="","",OR(D77=Settings!$B$3,AND(Settings!$B$4&lt;&gt;"",D77=Settings!$B$4)))</f>
        <v/>
      </c>
      <c r="F77" s="13"/>
      <c r="G77" s="13"/>
      <c r="H77" s="13"/>
      <c r="I77" s="13"/>
      <c r="J77" s="13"/>
      <c r="K77" s="18"/>
      <c r="L77" s="13"/>
      <c r="M77" s="15" t="str">
        <f aca="false">IF(A77="","",COUNTIFS(Quotes!$B$2:$B$301,A77,Quotes!$G$2:$G$301,"Y"))</f>
        <v/>
      </c>
      <c r="N77" s="17" t="str">
        <f aca="false">IF(A77="","",IF(M77=0,"",_xlfn.MINIFS(Quotes!$F$2:$F$301,Quotes!$B$2:$B$301,A77,Quotes!$G$2:$G$301,"Y")))</f>
        <v/>
      </c>
      <c r="O77" s="15" t="str">
        <f aca="false">IF(A77="","",AND(E77,G77="Y"))</f>
        <v/>
      </c>
      <c r="P77" s="17" t="str">
        <f aca="false">IF(A77="","",IF(AND(O77,N77&lt;&gt;""),N77,""))</f>
        <v/>
      </c>
      <c r="Q77" s="15" t="str">
        <f aca="false">IF(A77="","",COUNTIF(Picks!$A$2:$A$301,A77)&gt;0)</f>
        <v/>
      </c>
      <c r="R77" s="13"/>
      <c r="S77" s="13"/>
      <c r="T77" s="15" t="str">
        <f aca="false">IF(A77="","",COUNTIF(Nudges!$C$2:$C$301,A77)&gt;0)</f>
        <v/>
      </c>
      <c r="U77" s="8"/>
      <c r="V77" s="8"/>
    </row>
    <row r="78" customFormat="false" ht="15" hidden="false" customHeight="false" outlineLevel="0" collapsed="false">
      <c r="A78" s="13"/>
      <c r="B78" s="18"/>
      <c r="C78" s="15" t="str">
        <f aca="false">IF(B78="","",INT((B78-Settings!$B$2)/7)+1)</f>
        <v/>
      </c>
      <c r="D78" s="13"/>
      <c r="E78" s="15" t="str">
        <f aca="false">IF(A78="","",OR(D78=Settings!$B$3,AND(Settings!$B$4&lt;&gt;"",D78=Settings!$B$4)))</f>
        <v/>
      </c>
      <c r="F78" s="13"/>
      <c r="G78" s="13"/>
      <c r="H78" s="13"/>
      <c r="I78" s="13"/>
      <c r="J78" s="13"/>
      <c r="K78" s="18"/>
      <c r="L78" s="13"/>
      <c r="M78" s="15" t="str">
        <f aca="false">IF(A78="","",COUNTIFS(Quotes!$B$2:$B$301,A78,Quotes!$G$2:$G$301,"Y"))</f>
        <v/>
      </c>
      <c r="N78" s="17" t="str">
        <f aca="false">IF(A78="","",IF(M78=0,"",_xlfn.MINIFS(Quotes!$F$2:$F$301,Quotes!$B$2:$B$301,A78,Quotes!$G$2:$G$301,"Y")))</f>
        <v/>
      </c>
      <c r="O78" s="15" t="str">
        <f aca="false">IF(A78="","",AND(E78,G78="Y"))</f>
        <v/>
      </c>
      <c r="P78" s="17" t="str">
        <f aca="false">IF(A78="","",IF(AND(O78,N78&lt;&gt;""),N78,""))</f>
        <v/>
      </c>
      <c r="Q78" s="15" t="str">
        <f aca="false">IF(A78="","",COUNTIF(Picks!$A$2:$A$301,A78)&gt;0)</f>
        <v/>
      </c>
      <c r="R78" s="13"/>
      <c r="S78" s="13"/>
      <c r="T78" s="15" t="str">
        <f aca="false">IF(A78="","",COUNTIF(Nudges!$C$2:$C$301,A78)&gt;0)</f>
        <v/>
      </c>
      <c r="U78" s="8"/>
      <c r="V78" s="8"/>
    </row>
    <row r="79" customFormat="false" ht="15" hidden="false" customHeight="false" outlineLevel="0" collapsed="false">
      <c r="A79" s="13"/>
      <c r="B79" s="18"/>
      <c r="C79" s="15" t="str">
        <f aca="false">IF(B79="","",INT((B79-Settings!$B$2)/7)+1)</f>
        <v/>
      </c>
      <c r="D79" s="13"/>
      <c r="E79" s="15" t="str">
        <f aca="false">IF(A79="","",OR(D79=Settings!$B$3,AND(Settings!$B$4&lt;&gt;"",D79=Settings!$B$4)))</f>
        <v/>
      </c>
      <c r="F79" s="13"/>
      <c r="G79" s="13"/>
      <c r="H79" s="13"/>
      <c r="I79" s="13"/>
      <c r="J79" s="13"/>
      <c r="K79" s="18"/>
      <c r="L79" s="13"/>
      <c r="M79" s="15" t="str">
        <f aca="false">IF(A79="","",COUNTIFS(Quotes!$B$2:$B$301,A79,Quotes!$G$2:$G$301,"Y"))</f>
        <v/>
      </c>
      <c r="N79" s="17" t="str">
        <f aca="false">IF(A79="","",IF(M79=0,"",_xlfn.MINIFS(Quotes!$F$2:$F$301,Quotes!$B$2:$B$301,A79,Quotes!$G$2:$G$301,"Y")))</f>
        <v/>
      </c>
      <c r="O79" s="15" t="str">
        <f aca="false">IF(A79="","",AND(E79,G79="Y"))</f>
        <v/>
      </c>
      <c r="P79" s="17" t="str">
        <f aca="false">IF(A79="","",IF(AND(O79,N79&lt;&gt;""),N79,""))</f>
        <v/>
      </c>
      <c r="Q79" s="15" t="str">
        <f aca="false">IF(A79="","",COUNTIF(Picks!$A$2:$A$301,A79)&gt;0)</f>
        <v/>
      </c>
      <c r="R79" s="13"/>
      <c r="S79" s="13"/>
      <c r="T79" s="15" t="str">
        <f aca="false">IF(A79="","",COUNTIF(Nudges!$C$2:$C$301,A79)&gt;0)</f>
        <v/>
      </c>
      <c r="U79" s="8"/>
      <c r="V79" s="8"/>
    </row>
    <row r="80" customFormat="false" ht="15" hidden="false" customHeight="false" outlineLevel="0" collapsed="false">
      <c r="A80" s="13"/>
      <c r="B80" s="18"/>
      <c r="C80" s="15" t="str">
        <f aca="false">IF(B80="","",INT((B80-Settings!$B$2)/7)+1)</f>
        <v/>
      </c>
      <c r="D80" s="13"/>
      <c r="E80" s="15" t="str">
        <f aca="false">IF(A80="","",OR(D80=Settings!$B$3,AND(Settings!$B$4&lt;&gt;"",D80=Settings!$B$4)))</f>
        <v/>
      </c>
      <c r="F80" s="13"/>
      <c r="G80" s="13"/>
      <c r="H80" s="13"/>
      <c r="I80" s="13"/>
      <c r="J80" s="13"/>
      <c r="K80" s="18"/>
      <c r="L80" s="13"/>
      <c r="M80" s="15" t="str">
        <f aca="false">IF(A80="","",COUNTIFS(Quotes!$B$2:$B$301,A80,Quotes!$G$2:$G$301,"Y"))</f>
        <v/>
      </c>
      <c r="N80" s="17" t="str">
        <f aca="false">IF(A80="","",IF(M80=0,"",_xlfn.MINIFS(Quotes!$F$2:$F$301,Quotes!$B$2:$B$301,A80,Quotes!$G$2:$G$301,"Y")))</f>
        <v/>
      </c>
      <c r="O80" s="15" t="str">
        <f aca="false">IF(A80="","",AND(E80,G80="Y"))</f>
        <v/>
      </c>
      <c r="P80" s="17" t="str">
        <f aca="false">IF(A80="","",IF(AND(O80,N80&lt;&gt;""),N80,""))</f>
        <v/>
      </c>
      <c r="Q80" s="15" t="str">
        <f aca="false">IF(A80="","",COUNTIF(Picks!$A$2:$A$301,A80)&gt;0)</f>
        <v/>
      </c>
      <c r="R80" s="13"/>
      <c r="S80" s="13"/>
      <c r="T80" s="15" t="str">
        <f aca="false">IF(A80="","",COUNTIF(Nudges!$C$2:$C$301,A80)&gt;0)</f>
        <v/>
      </c>
      <c r="U80" s="8"/>
      <c r="V80" s="8"/>
    </row>
    <row r="81" customFormat="false" ht="15" hidden="false" customHeight="false" outlineLevel="0" collapsed="false">
      <c r="A81" s="13"/>
      <c r="B81" s="18"/>
      <c r="C81" s="15" t="str">
        <f aca="false">IF(B81="","",INT((B81-Settings!$B$2)/7)+1)</f>
        <v/>
      </c>
      <c r="D81" s="13"/>
      <c r="E81" s="15" t="str">
        <f aca="false">IF(A81="","",OR(D81=Settings!$B$3,AND(Settings!$B$4&lt;&gt;"",D81=Settings!$B$4)))</f>
        <v/>
      </c>
      <c r="F81" s="13"/>
      <c r="G81" s="13"/>
      <c r="H81" s="13"/>
      <c r="I81" s="13"/>
      <c r="J81" s="13"/>
      <c r="K81" s="18"/>
      <c r="L81" s="13"/>
      <c r="M81" s="15" t="str">
        <f aca="false">IF(A81="","",COUNTIFS(Quotes!$B$2:$B$301,A81,Quotes!$G$2:$G$301,"Y"))</f>
        <v/>
      </c>
      <c r="N81" s="17" t="str">
        <f aca="false">IF(A81="","",IF(M81=0,"",_xlfn.MINIFS(Quotes!$F$2:$F$301,Quotes!$B$2:$B$301,A81,Quotes!$G$2:$G$301,"Y")))</f>
        <v/>
      </c>
      <c r="O81" s="15" t="str">
        <f aca="false">IF(A81="","",AND(E81,G81="Y"))</f>
        <v/>
      </c>
      <c r="P81" s="17" t="str">
        <f aca="false">IF(A81="","",IF(AND(O81,N81&lt;&gt;""),N81,""))</f>
        <v/>
      </c>
      <c r="Q81" s="15" t="str">
        <f aca="false">IF(A81="","",COUNTIF(Picks!$A$2:$A$301,A81)&gt;0)</f>
        <v/>
      </c>
      <c r="R81" s="13"/>
      <c r="S81" s="13"/>
      <c r="T81" s="15" t="str">
        <f aca="false">IF(A81="","",COUNTIF(Nudges!$C$2:$C$301,A81)&gt;0)</f>
        <v/>
      </c>
      <c r="U81" s="8"/>
      <c r="V81" s="8"/>
    </row>
    <row r="82" customFormat="false" ht="15" hidden="false" customHeight="false" outlineLevel="0" collapsed="false">
      <c r="A82" s="13"/>
      <c r="B82" s="18"/>
      <c r="C82" s="15" t="str">
        <f aca="false">IF(B82="","",INT((B82-Settings!$B$2)/7)+1)</f>
        <v/>
      </c>
      <c r="D82" s="13"/>
      <c r="E82" s="15" t="str">
        <f aca="false">IF(A82="","",OR(D82=Settings!$B$3,AND(Settings!$B$4&lt;&gt;"",D82=Settings!$B$4)))</f>
        <v/>
      </c>
      <c r="F82" s="13"/>
      <c r="G82" s="13"/>
      <c r="H82" s="13"/>
      <c r="I82" s="13"/>
      <c r="J82" s="13"/>
      <c r="K82" s="18"/>
      <c r="L82" s="13"/>
      <c r="M82" s="15" t="str">
        <f aca="false">IF(A82="","",COUNTIFS(Quotes!$B$2:$B$301,A82,Quotes!$G$2:$G$301,"Y"))</f>
        <v/>
      </c>
      <c r="N82" s="17" t="str">
        <f aca="false">IF(A82="","",IF(M82=0,"",_xlfn.MINIFS(Quotes!$F$2:$F$301,Quotes!$B$2:$B$301,A82,Quotes!$G$2:$G$301,"Y")))</f>
        <v/>
      </c>
      <c r="O82" s="15" t="str">
        <f aca="false">IF(A82="","",AND(E82,G82="Y"))</f>
        <v/>
      </c>
      <c r="P82" s="17" t="str">
        <f aca="false">IF(A82="","",IF(AND(O82,N82&lt;&gt;""),N82,""))</f>
        <v/>
      </c>
      <c r="Q82" s="15" t="str">
        <f aca="false">IF(A82="","",COUNTIF(Picks!$A$2:$A$301,A82)&gt;0)</f>
        <v/>
      </c>
      <c r="R82" s="13"/>
      <c r="S82" s="13"/>
      <c r="T82" s="15" t="str">
        <f aca="false">IF(A82="","",COUNTIF(Nudges!$C$2:$C$301,A82)&gt;0)</f>
        <v/>
      </c>
      <c r="U82" s="8"/>
      <c r="V82" s="8"/>
    </row>
    <row r="83" customFormat="false" ht="15" hidden="false" customHeight="false" outlineLevel="0" collapsed="false">
      <c r="A83" s="13"/>
      <c r="B83" s="18"/>
      <c r="C83" s="15" t="str">
        <f aca="false">IF(B83="","",INT((B83-Settings!$B$2)/7)+1)</f>
        <v/>
      </c>
      <c r="D83" s="13"/>
      <c r="E83" s="15" t="str">
        <f aca="false">IF(A83="","",OR(D83=Settings!$B$3,AND(Settings!$B$4&lt;&gt;"",D83=Settings!$B$4)))</f>
        <v/>
      </c>
      <c r="F83" s="13"/>
      <c r="G83" s="13"/>
      <c r="H83" s="13"/>
      <c r="I83" s="13"/>
      <c r="J83" s="13"/>
      <c r="K83" s="18"/>
      <c r="L83" s="13"/>
      <c r="M83" s="15" t="str">
        <f aca="false">IF(A83="","",COUNTIFS(Quotes!$B$2:$B$301,A83,Quotes!$G$2:$G$301,"Y"))</f>
        <v/>
      </c>
      <c r="N83" s="17" t="str">
        <f aca="false">IF(A83="","",IF(M83=0,"",_xlfn.MINIFS(Quotes!$F$2:$F$301,Quotes!$B$2:$B$301,A83,Quotes!$G$2:$G$301,"Y")))</f>
        <v/>
      </c>
      <c r="O83" s="15" t="str">
        <f aca="false">IF(A83="","",AND(E83,G83="Y"))</f>
        <v/>
      </c>
      <c r="P83" s="17" t="str">
        <f aca="false">IF(A83="","",IF(AND(O83,N83&lt;&gt;""),N83,""))</f>
        <v/>
      </c>
      <c r="Q83" s="15" t="str">
        <f aca="false">IF(A83="","",COUNTIF(Picks!$A$2:$A$301,A83)&gt;0)</f>
        <v/>
      </c>
      <c r="R83" s="13"/>
      <c r="S83" s="13"/>
      <c r="T83" s="15" t="str">
        <f aca="false">IF(A83="","",COUNTIF(Nudges!$C$2:$C$301,A83)&gt;0)</f>
        <v/>
      </c>
      <c r="U83" s="8"/>
      <c r="V83" s="8"/>
    </row>
    <row r="84" customFormat="false" ht="15" hidden="false" customHeight="false" outlineLevel="0" collapsed="false">
      <c r="A84" s="13"/>
      <c r="B84" s="18"/>
      <c r="C84" s="15" t="str">
        <f aca="false">IF(B84="","",INT((B84-Settings!$B$2)/7)+1)</f>
        <v/>
      </c>
      <c r="D84" s="13"/>
      <c r="E84" s="15" t="str">
        <f aca="false">IF(A84="","",OR(D84=Settings!$B$3,AND(Settings!$B$4&lt;&gt;"",D84=Settings!$B$4)))</f>
        <v/>
      </c>
      <c r="F84" s="13"/>
      <c r="G84" s="13"/>
      <c r="H84" s="13"/>
      <c r="I84" s="13"/>
      <c r="J84" s="13"/>
      <c r="K84" s="18"/>
      <c r="L84" s="13"/>
      <c r="M84" s="15" t="str">
        <f aca="false">IF(A84="","",COUNTIFS(Quotes!$B$2:$B$301,A84,Quotes!$G$2:$G$301,"Y"))</f>
        <v/>
      </c>
      <c r="N84" s="17" t="str">
        <f aca="false">IF(A84="","",IF(M84=0,"",_xlfn.MINIFS(Quotes!$F$2:$F$301,Quotes!$B$2:$B$301,A84,Quotes!$G$2:$G$301,"Y")))</f>
        <v/>
      </c>
      <c r="O84" s="15" t="str">
        <f aca="false">IF(A84="","",AND(E84,G84="Y"))</f>
        <v/>
      </c>
      <c r="P84" s="17" t="str">
        <f aca="false">IF(A84="","",IF(AND(O84,N84&lt;&gt;""),N84,""))</f>
        <v/>
      </c>
      <c r="Q84" s="15" t="str">
        <f aca="false">IF(A84="","",COUNTIF(Picks!$A$2:$A$301,A84)&gt;0)</f>
        <v/>
      </c>
      <c r="R84" s="13"/>
      <c r="S84" s="13"/>
      <c r="T84" s="15" t="str">
        <f aca="false">IF(A84="","",COUNTIF(Nudges!$C$2:$C$301,A84)&gt;0)</f>
        <v/>
      </c>
      <c r="U84" s="8"/>
      <c r="V84" s="8"/>
    </row>
    <row r="85" customFormat="false" ht="15" hidden="false" customHeight="false" outlineLevel="0" collapsed="false">
      <c r="A85" s="13"/>
      <c r="B85" s="18"/>
      <c r="C85" s="15" t="str">
        <f aca="false">IF(B85="","",INT((B85-Settings!$B$2)/7)+1)</f>
        <v/>
      </c>
      <c r="D85" s="13"/>
      <c r="E85" s="15" t="str">
        <f aca="false">IF(A85="","",OR(D85=Settings!$B$3,AND(Settings!$B$4&lt;&gt;"",D85=Settings!$B$4)))</f>
        <v/>
      </c>
      <c r="F85" s="13"/>
      <c r="G85" s="13"/>
      <c r="H85" s="13"/>
      <c r="I85" s="13"/>
      <c r="J85" s="13"/>
      <c r="K85" s="18"/>
      <c r="L85" s="13"/>
      <c r="M85" s="15" t="str">
        <f aca="false">IF(A85="","",COUNTIFS(Quotes!$B$2:$B$301,A85,Quotes!$G$2:$G$301,"Y"))</f>
        <v/>
      </c>
      <c r="N85" s="17" t="str">
        <f aca="false">IF(A85="","",IF(M85=0,"",_xlfn.MINIFS(Quotes!$F$2:$F$301,Quotes!$B$2:$B$301,A85,Quotes!$G$2:$G$301,"Y")))</f>
        <v/>
      </c>
      <c r="O85" s="15" t="str">
        <f aca="false">IF(A85="","",AND(E85,G85="Y"))</f>
        <v/>
      </c>
      <c r="P85" s="17" t="str">
        <f aca="false">IF(A85="","",IF(AND(O85,N85&lt;&gt;""),N85,""))</f>
        <v/>
      </c>
      <c r="Q85" s="15" t="str">
        <f aca="false">IF(A85="","",COUNTIF(Picks!$A$2:$A$301,A85)&gt;0)</f>
        <v/>
      </c>
      <c r="R85" s="13"/>
      <c r="S85" s="13"/>
      <c r="T85" s="15" t="str">
        <f aca="false">IF(A85="","",COUNTIF(Nudges!$C$2:$C$301,A85)&gt;0)</f>
        <v/>
      </c>
      <c r="U85" s="8"/>
      <c r="V85" s="8"/>
    </row>
    <row r="86" customFormat="false" ht="15" hidden="false" customHeight="false" outlineLevel="0" collapsed="false">
      <c r="A86" s="13"/>
      <c r="B86" s="18"/>
      <c r="C86" s="15" t="str">
        <f aca="false">IF(B86="","",INT((B86-Settings!$B$2)/7)+1)</f>
        <v/>
      </c>
      <c r="D86" s="13"/>
      <c r="E86" s="15" t="str">
        <f aca="false">IF(A86="","",OR(D86=Settings!$B$3,AND(Settings!$B$4&lt;&gt;"",D86=Settings!$B$4)))</f>
        <v/>
      </c>
      <c r="F86" s="13"/>
      <c r="G86" s="13"/>
      <c r="H86" s="13"/>
      <c r="I86" s="13"/>
      <c r="J86" s="13"/>
      <c r="K86" s="18"/>
      <c r="L86" s="13"/>
      <c r="M86" s="15" t="str">
        <f aca="false">IF(A86="","",COUNTIFS(Quotes!$B$2:$B$301,A86,Quotes!$G$2:$G$301,"Y"))</f>
        <v/>
      </c>
      <c r="N86" s="17" t="str">
        <f aca="false">IF(A86="","",IF(M86=0,"",_xlfn.MINIFS(Quotes!$F$2:$F$301,Quotes!$B$2:$B$301,A86,Quotes!$G$2:$G$301,"Y")))</f>
        <v/>
      </c>
      <c r="O86" s="15" t="str">
        <f aca="false">IF(A86="","",AND(E86,G86="Y"))</f>
        <v/>
      </c>
      <c r="P86" s="17" t="str">
        <f aca="false">IF(A86="","",IF(AND(O86,N86&lt;&gt;""),N86,""))</f>
        <v/>
      </c>
      <c r="Q86" s="15" t="str">
        <f aca="false">IF(A86="","",COUNTIF(Picks!$A$2:$A$301,A86)&gt;0)</f>
        <v/>
      </c>
      <c r="R86" s="13"/>
      <c r="S86" s="13"/>
      <c r="T86" s="15" t="str">
        <f aca="false">IF(A86="","",COUNTIF(Nudges!$C$2:$C$301,A86)&gt;0)</f>
        <v/>
      </c>
      <c r="U86" s="8"/>
      <c r="V86" s="8"/>
    </row>
    <row r="87" customFormat="false" ht="15" hidden="false" customHeight="false" outlineLevel="0" collapsed="false">
      <c r="A87" s="13"/>
      <c r="B87" s="18"/>
      <c r="C87" s="15" t="str">
        <f aca="false">IF(B87="","",INT((B87-Settings!$B$2)/7)+1)</f>
        <v/>
      </c>
      <c r="D87" s="13"/>
      <c r="E87" s="15" t="str">
        <f aca="false">IF(A87="","",OR(D87=Settings!$B$3,AND(Settings!$B$4&lt;&gt;"",D87=Settings!$B$4)))</f>
        <v/>
      </c>
      <c r="F87" s="13"/>
      <c r="G87" s="13"/>
      <c r="H87" s="13"/>
      <c r="I87" s="13"/>
      <c r="J87" s="13"/>
      <c r="K87" s="18"/>
      <c r="L87" s="13"/>
      <c r="M87" s="15" t="str">
        <f aca="false">IF(A87="","",COUNTIFS(Quotes!$B$2:$B$301,A87,Quotes!$G$2:$G$301,"Y"))</f>
        <v/>
      </c>
      <c r="N87" s="17" t="str">
        <f aca="false">IF(A87="","",IF(M87=0,"",_xlfn.MINIFS(Quotes!$F$2:$F$301,Quotes!$B$2:$B$301,A87,Quotes!$G$2:$G$301,"Y")))</f>
        <v/>
      </c>
      <c r="O87" s="15" t="str">
        <f aca="false">IF(A87="","",AND(E87,G87="Y"))</f>
        <v/>
      </c>
      <c r="P87" s="17" t="str">
        <f aca="false">IF(A87="","",IF(AND(O87,N87&lt;&gt;""),N87,""))</f>
        <v/>
      </c>
      <c r="Q87" s="15" t="str">
        <f aca="false">IF(A87="","",COUNTIF(Picks!$A$2:$A$301,A87)&gt;0)</f>
        <v/>
      </c>
      <c r="R87" s="13"/>
      <c r="S87" s="13"/>
      <c r="T87" s="15" t="str">
        <f aca="false">IF(A87="","",COUNTIF(Nudges!$C$2:$C$301,A87)&gt;0)</f>
        <v/>
      </c>
      <c r="U87" s="8"/>
      <c r="V87" s="8"/>
    </row>
    <row r="88" customFormat="false" ht="15" hidden="false" customHeight="false" outlineLevel="0" collapsed="false">
      <c r="A88" s="13"/>
      <c r="B88" s="18"/>
      <c r="C88" s="15" t="str">
        <f aca="false">IF(B88="","",INT((B88-Settings!$B$2)/7)+1)</f>
        <v/>
      </c>
      <c r="D88" s="13"/>
      <c r="E88" s="15" t="str">
        <f aca="false">IF(A88="","",OR(D88=Settings!$B$3,AND(Settings!$B$4&lt;&gt;"",D88=Settings!$B$4)))</f>
        <v/>
      </c>
      <c r="F88" s="13"/>
      <c r="G88" s="13"/>
      <c r="H88" s="13"/>
      <c r="I88" s="13"/>
      <c r="J88" s="13"/>
      <c r="K88" s="18"/>
      <c r="L88" s="13"/>
      <c r="M88" s="15" t="str">
        <f aca="false">IF(A88="","",COUNTIFS(Quotes!$B$2:$B$301,A88,Quotes!$G$2:$G$301,"Y"))</f>
        <v/>
      </c>
      <c r="N88" s="17" t="str">
        <f aca="false">IF(A88="","",IF(M88=0,"",_xlfn.MINIFS(Quotes!$F$2:$F$301,Quotes!$B$2:$B$301,A88,Quotes!$G$2:$G$301,"Y")))</f>
        <v/>
      </c>
      <c r="O88" s="15" t="str">
        <f aca="false">IF(A88="","",AND(E88,G88="Y"))</f>
        <v/>
      </c>
      <c r="P88" s="17" t="str">
        <f aca="false">IF(A88="","",IF(AND(O88,N88&lt;&gt;""),N88,""))</f>
        <v/>
      </c>
      <c r="Q88" s="15" t="str">
        <f aca="false">IF(A88="","",COUNTIF(Picks!$A$2:$A$301,A88)&gt;0)</f>
        <v/>
      </c>
      <c r="R88" s="13"/>
      <c r="S88" s="13"/>
      <c r="T88" s="15" t="str">
        <f aca="false">IF(A88="","",COUNTIF(Nudges!$C$2:$C$301,A88)&gt;0)</f>
        <v/>
      </c>
      <c r="U88" s="8"/>
      <c r="V88" s="8"/>
    </row>
    <row r="89" customFormat="false" ht="15" hidden="false" customHeight="false" outlineLevel="0" collapsed="false">
      <c r="A89" s="13"/>
      <c r="B89" s="18"/>
      <c r="C89" s="15" t="str">
        <f aca="false">IF(B89="","",INT((B89-Settings!$B$2)/7)+1)</f>
        <v/>
      </c>
      <c r="D89" s="13"/>
      <c r="E89" s="15" t="str">
        <f aca="false">IF(A89="","",OR(D89=Settings!$B$3,AND(Settings!$B$4&lt;&gt;"",D89=Settings!$B$4)))</f>
        <v/>
      </c>
      <c r="F89" s="13"/>
      <c r="G89" s="13"/>
      <c r="H89" s="13"/>
      <c r="I89" s="13"/>
      <c r="J89" s="13"/>
      <c r="K89" s="18"/>
      <c r="L89" s="13"/>
      <c r="M89" s="15" t="str">
        <f aca="false">IF(A89="","",COUNTIFS(Quotes!$B$2:$B$301,A89,Quotes!$G$2:$G$301,"Y"))</f>
        <v/>
      </c>
      <c r="N89" s="17" t="str">
        <f aca="false">IF(A89="","",IF(M89=0,"",_xlfn.MINIFS(Quotes!$F$2:$F$301,Quotes!$B$2:$B$301,A89,Quotes!$G$2:$G$301,"Y")))</f>
        <v/>
      </c>
      <c r="O89" s="15" t="str">
        <f aca="false">IF(A89="","",AND(E89,G89="Y"))</f>
        <v/>
      </c>
      <c r="P89" s="17" t="str">
        <f aca="false">IF(A89="","",IF(AND(O89,N89&lt;&gt;""),N89,""))</f>
        <v/>
      </c>
      <c r="Q89" s="15" t="str">
        <f aca="false">IF(A89="","",COUNTIF(Picks!$A$2:$A$301,A89)&gt;0)</f>
        <v/>
      </c>
      <c r="R89" s="13"/>
      <c r="S89" s="13"/>
      <c r="T89" s="15" t="str">
        <f aca="false">IF(A89="","",COUNTIF(Nudges!$C$2:$C$301,A89)&gt;0)</f>
        <v/>
      </c>
      <c r="U89" s="8"/>
      <c r="V89" s="8"/>
    </row>
    <row r="90" customFormat="false" ht="15" hidden="false" customHeight="false" outlineLevel="0" collapsed="false">
      <c r="A90" s="13"/>
      <c r="B90" s="18"/>
      <c r="C90" s="15" t="str">
        <f aca="false">IF(B90="","",INT((B90-Settings!$B$2)/7)+1)</f>
        <v/>
      </c>
      <c r="D90" s="13"/>
      <c r="E90" s="15" t="str">
        <f aca="false">IF(A90="","",OR(D90=Settings!$B$3,AND(Settings!$B$4&lt;&gt;"",D90=Settings!$B$4)))</f>
        <v/>
      </c>
      <c r="F90" s="13"/>
      <c r="G90" s="13"/>
      <c r="H90" s="13"/>
      <c r="I90" s="13"/>
      <c r="J90" s="13"/>
      <c r="K90" s="18"/>
      <c r="L90" s="13"/>
      <c r="M90" s="15" t="str">
        <f aca="false">IF(A90="","",COUNTIFS(Quotes!$B$2:$B$301,A90,Quotes!$G$2:$G$301,"Y"))</f>
        <v/>
      </c>
      <c r="N90" s="17" t="str">
        <f aca="false">IF(A90="","",IF(M90=0,"",_xlfn.MINIFS(Quotes!$F$2:$F$301,Quotes!$B$2:$B$301,A90,Quotes!$G$2:$G$301,"Y")))</f>
        <v/>
      </c>
      <c r="O90" s="15" t="str">
        <f aca="false">IF(A90="","",AND(E90,G90="Y"))</f>
        <v/>
      </c>
      <c r="P90" s="17" t="str">
        <f aca="false">IF(A90="","",IF(AND(O90,N90&lt;&gt;""),N90,""))</f>
        <v/>
      </c>
      <c r="Q90" s="15" t="str">
        <f aca="false">IF(A90="","",COUNTIF(Picks!$A$2:$A$301,A90)&gt;0)</f>
        <v/>
      </c>
      <c r="R90" s="13"/>
      <c r="S90" s="13"/>
      <c r="T90" s="15" t="str">
        <f aca="false">IF(A90="","",COUNTIF(Nudges!$C$2:$C$301,A90)&gt;0)</f>
        <v/>
      </c>
      <c r="U90" s="8"/>
      <c r="V90" s="8"/>
    </row>
    <row r="91" customFormat="false" ht="15" hidden="false" customHeight="false" outlineLevel="0" collapsed="false">
      <c r="A91" s="13"/>
      <c r="B91" s="18"/>
      <c r="C91" s="15" t="str">
        <f aca="false">IF(B91="","",INT((B91-Settings!$B$2)/7)+1)</f>
        <v/>
      </c>
      <c r="D91" s="13"/>
      <c r="E91" s="15" t="str">
        <f aca="false">IF(A91="","",OR(D91=Settings!$B$3,AND(Settings!$B$4&lt;&gt;"",D91=Settings!$B$4)))</f>
        <v/>
      </c>
      <c r="F91" s="13"/>
      <c r="G91" s="13"/>
      <c r="H91" s="13"/>
      <c r="I91" s="13"/>
      <c r="J91" s="13"/>
      <c r="K91" s="18"/>
      <c r="L91" s="13"/>
      <c r="M91" s="15" t="str">
        <f aca="false">IF(A91="","",COUNTIFS(Quotes!$B$2:$B$301,A91,Quotes!$G$2:$G$301,"Y"))</f>
        <v/>
      </c>
      <c r="N91" s="17" t="str">
        <f aca="false">IF(A91="","",IF(M91=0,"",_xlfn.MINIFS(Quotes!$F$2:$F$301,Quotes!$B$2:$B$301,A91,Quotes!$G$2:$G$301,"Y")))</f>
        <v/>
      </c>
      <c r="O91" s="15" t="str">
        <f aca="false">IF(A91="","",AND(E91,G91="Y"))</f>
        <v/>
      </c>
      <c r="P91" s="17" t="str">
        <f aca="false">IF(A91="","",IF(AND(O91,N91&lt;&gt;""),N91,""))</f>
        <v/>
      </c>
      <c r="Q91" s="15" t="str">
        <f aca="false">IF(A91="","",COUNTIF(Picks!$A$2:$A$301,A91)&gt;0)</f>
        <v/>
      </c>
      <c r="R91" s="13"/>
      <c r="S91" s="13"/>
      <c r="T91" s="15" t="str">
        <f aca="false">IF(A91="","",COUNTIF(Nudges!$C$2:$C$301,A91)&gt;0)</f>
        <v/>
      </c>
      <c r="U91" s="8"/>
      <c r="V91" s="8"/>
    </row>
    <row r="92" customFormat="false" ht="15" hidden="false" customHeight="false" outlineLevel="0" collapsed="false">
      <c r="A92" s="13"/>
      <c r="B92" s="18"/>
      <c r="C92" s="15" t="str">
        <f aca="false">IF(B92="","",INT((B92-Settings!$B$2)/7)+1)</f>
        <v/>
      </c>
      <c r="D92" s="13"/>
      <c r="E92" s="15" t="str">
        <f aca="false">IF(A92="","",OR(D92=Settings!$B$3,AND(Settings!$B$4&lt;&gt;"",D92=Settings!$B$4)))</f>
        <v/>
      </c>
      <c r="F92" s="13"/>
      <c r="G92" s="13"/>
      <c r="H92" s="13"/>
      <c r="I92" s="13"/>
      <c r="J92" s="13"/>
      <c r="K92" s="18"/>
      <c r="L92" s="13"/>
      <c r="M92" s="15" t="str">
        <f aca="false">IF(A92="","",COUNTIFS(Quotes!$B$2:$B$301,A92,Quotes!$G$2:$G$301,"Y"))</f>
        <v/>
      </c>
      <c r="N92" s="17" t="str">
        <f aca="false">IF(A92="","",IF(M92=0,"",_xlfn.MINIFS(Quotes!$F$2:$F$301,Quotes!$B$2:$B$301,A92,Quotes!$G$2:$G$301,"Y")))</f>
        <v/>
      </c>
      <c r="O92" s="15" t="str">
        <f aca="false">IF(A92="","",AND(E92,G92="Y"))</f>
        <v/>
      </c>
      <c r="P92" s="17" t="str">
        <f aca="false">IF(A92="","",IF(AND(O92,N92&lt;&gt;""),N92,""))</f>
        <v/>
      </c>
      <c r="Q92" s="15" t="str">
        <f aca="false">IF(A92="","",COUNTIF(Picks!$A$2:$A$301,A92)&gt;0)</f>
        <v/>
      </c>
      <c r="R92" s="13"/>
      <c r="S92" s="13"/>
      <c r="T92" s="15" t="str">
        <f aca="false">IF(A92="","",COUNTIF(Nudges!$C$2:$C$301,A92)&gt;0)</f>
        <v/>
      </c>
      <c r="U92" s="8"/>
      <c r="V92" s="8"/>
    </row>
    <row r="93" customFormat="false" ht="15" hidden="false" customHeight="false" outlineLevel="0" collapsed="false">
      <c r="A93" s="13"/>
      <c r="B93" s="18"/>
      <c r="C93" s="15" t="str">
        <f aca="false">IF(B93="","",INT((B93-Settings!$B$2)/7)+1)</f>
        <v/>
      </c>
      <c r="D93" s="13"/>
      <c r="E93" s="15" t="str">
        <f aca="false">IF(A93="","",OR(D93=Settings!$B$3,AND(Settings!$B$4&lt;&gt;"",D93=Settings!$B$4)))</f>
        <v/>
      </c>
      <c r="F93" s="13"/>
      <c r="G93" s="13"/>
      <c r="H93" s="13"/>
      <c r="I93" s="13"/>
      <c r="J93" s="13"/>
      <c r="K93" s="18"/>
      <c r="L93" s="13"/>
      <c r="M93" s="15" t="str">
        <f aca="false">IF(A93="","",COUNTIFS(Quotes!$B$2:$B$301,A93,Quotes!$G$2:$G$301,"Y"))</f>
        <v/>
      </c>
      <c r="N93" s="17" t="str">
        <f aca="false">IF(A93="","",IF(M93=0,"",_xlfn.MINIFS(Quotes!$F$2:$F$301,Quotes!$B$2:$B$301,A93,Quotes!$G$2:$G$301,"Y")))</f>
        <v/>
      </c>
      <c r="O93" s="15" t="str">
        <f aca="false">IF(A93="","",AND(E93,G93="Y"))</f>
        <v/>
      </c>
      <c r="P93" s="17" t="str">
        <f aca="false">IF(A93="","",IF(AND(O93,N93&lt;&gt;""),N93,""))</f>
        <v/>
      </c>
      <c r="Q93" s="15" t="str">
        <f aca="false">IF(A93="","",COUNTIF(Picks!$A$2:$A$301,A93)&gt;0)</f>
        <v/>
      </c>
      <c r="R93" s="13"/>
      <c r="S93" s="13"/>
      <c r="T93" s="15" t="str">
        <f aca="false">IF(A93="","",COUNTIF(Nudges!$C$2:$C$301,A93)&gt;0)</f>
        <v/>
      </c>
      <c r="U93" s="8"/>
      <c r="V93" s="8"/>
    </row>
    <row r="94" customFormat="false" ht="15" hidden="false" customHeight="false" outlineLevel="0" collapsed="false">
      <c r="A94" s="13"/>
      <c r="B94" s="18"/>
      <c r="C94" s="15" t="str">
        <f aca="false">IF(B94="","",INT((B94-Settings!$B$2)/7)+1)</f>
        <v/>
      </c>
      <c r="D94" s="13"/>
      <c r="E94" s="15" t="str">
        <f aca="false">IF(A94="","",OR(D94=Settings!$B$3,AND(Settings!$B$4&lt;&gt;"",D94=Settings!$B$4)))</f>
        <v/>
      </c>
      <c r="F94" s="13"/>
      <c r="G94" s="13"/>
      <c r="H94" s="13"/>
      <c r="I94" s="13"/>
      <c r="J94" s="13"/>
      <c r="K94" s="18"/>
      <c r="L94" s="13"/>
      <c r="M94" s="15" t="str">
        <f aca="false">IF(A94="","",COUNTIFS(Quotes!$B$2:$B$301,A94,Quotes!$G$2:$G$301,"Y"))</f>
        <v/>
      </c>
      <c r="N94" s="17" t="str">
        <f aca="false">IF(A94="","",IF(M94=0,"",_xlfn.MINIFS(Quotes!$F$2:$F$301,Quotes!$B$2:$B$301,A94,Quotes!$G$2:$G$301,"Y")))</f>
        <v/>
      </c>
      <c r="O94" s="15" t="str">
        <f aca="false">IF(A94="","",AND(E94,G94="Y"))</f>
        <v/>
      </c>
      <c r="P94" s="17" t="str">
        <f aca="false">IF(A94="","",IF(AND(O94,N94&lt;&gt;""),N94,""))</f>
        <v/>
      </c>
      <c r="Q94" s="15" t="str">
        <f aca="false">IF(A94="","",COUNTIF(Picks!$A$2:$A$301,A94)&gt;0)</f>
        <v/>
      </c>
      <c r="R94" s="13"/>
      <c r="S94" s="13"/>
      <c r="T94" s="15" t="str">
        <f aca="false">IF(A94="","",COUNTIF(Nudges!$C$2:$C$301,A94)&gt;0)</f>
        <v/>
      </c>
      <c r="U94" s="8"/>
      <c r="V94" s="8"/>
    </row>
    <row r="95" customFormat="false" ht="15" hidden="false" customHeight="false" outlineLevel="0" collapsed="false">
      <c r="A95" s="13"/>
      <c r="B95" s="18"/>
      <c r="C95" s="15" t="str">
        <f aca="false">IF(B95="","",INT((B95-Settings!$B$2)/7)+1)</f>
        <v/>
      </c>
      <c r="D95" s="13"/>
      <c r="E95" s="15" t="str">
        <f aca="false">IF(A95="","",OR(D95=Settings!$B$3,AND(Settings!$B$4&lt;&gt;"",D95=Settings!$B$4)))</f>
        <v/>
      </c>
      <c r="F95" s="13"/>
      <c r="G95" s="13"/>
      <c r="H95" s="13"/>
      <c r="I95" s="13"/>
      <c r="J95" s="13"/>
      <c r="K95" s="18"/>
      <c r="L95" s="13"/>
      <c r="M95" s="15" t="str">
        <f aca="false">IF(A95="","",COUNTIFS(Quotes!$B$2:$B$301,A95,Quotes!$G$2:$G$301,"Y"))</f>
        <v/>
      </c>
      <c r="N95" s="17" t="str">
        <f aca="false">IF(A95="","",IF(M95=0,"",_xlfn.MINIFS(Quotes!$F$2:$F$301,Quotes!$B$2:$B$301,A95,Quotes!$G$2:$G$301,"Y")))</f>
        <v/>
      </c>
      <c r="O95" s="15" t="str">
        <f aca="false">IF(A95="","",AND(E95,G95="Y"))</f>
        <v/>
      </c>
      <c r="P95" s="17" t="str">
        <f aca="false">IF(A95="","",IF(AND(O95,N95&lt;&gt;""),N95,""))</f>
        <v/>
      </c>
      <c r="Q95" s="15" t="str">
        <f aca="false">IF(A95="","",COUNTIF(Picks!$A$2:$A$301,A95)&gt;0)</f>
        <v/>
      </c>
      <c r="R95" s="13"/>
      <c r="S95" s="13"/>
      <c r="T95" s="15" t="str">
        <f aca="false">IF(A95="","",COUNTIF(Nudges!$C$2:$C$301,A95)&gt;0)</f>
        <v/>
      </c>
      <c r="U95" s="8"/>
      <c r="V95" s="8"/>
    </row>
    <row r="96" customFormat="false" ht="15" hidden="false" customHeight="false" outlineLevel="0" collapsed="false">
      <c r="A96" s="13"/>
      <c r="B96" s="18"/>
      <c r="C96" s="15" t="str">
        <f aca="false">IF(B96="","",INT((B96-Settings!$B$2)/7)+1)</f>
        <v/>
      </c>
      <c r="D96" s="13"/>
      <c r="E96" s="15" t="str">
        <f aca="false">IF(A96="","",OR(D96=Settings!$B$3,AND(Settings!$B$4&lt;&gt;"",D96=Settings!$B$4)))</f>
        <v/>
      </c>
      <c r="F96" s="13"/>
      <c r="G96" s="13"/>
      <c r="H96" s="13"/>
      <c r="I96" s="13"/>
      <c r="J96" s="13"/>
      <c r="K96" s="18"/>
      <c r="L96" s="13"/>
      <c r="M96" s="15" t="str">
        <f aca="false">IF(A96="","",COUNTIFS(Quotes!$B$2:$B$301,A96,Quotes!$G$2:$G$301,"Y"))</f>
        <v/>
      </c>
      <c r="N96" s="17" t="str">
        <f aca="false">IF(A96="","",IF(M96=0,"",_xlfn.MINIFS(Quotes!$F$2:$F$301,Quotes!$B$2:$B$301,A96,Quotes!$G$2:$G$301,"Y")))</f>
        <v/>
      </c>
      <c r="O96" s="15" t="str">
        <f aca="false">IF(A96="","",AND(E96,G96="Y"))</f>
        <v/>
      </c>
      <c r="P96" s="17" t="str">
        <f aca="false">IF(A96="","",IF(AND(O96,N96&lt;&gt;""),N96,""))</f>
        <v/>
      </c>
      <c r="Q96" s="15" t="str">
        <f aca="false">IF(A96="","",COUNTIF(Picks!$A$2:$A$301,A96)&gt;0)</f>
        <v/>
      </c>
      <c r="R96" s="13"/>
      <c r="S96" s="13"/>
      <c r="T96" s="15" t="str">
        <f aca="false">IF(A96="","",COUNTIF(Nudges!$C$2:$C$301,A96)&gt;0)</f>
        <v/>
      </c>
      <c r="U96" s="8"/>
      <c r="V96" s="8"/>
    </row>
    <row r="97" customFormat="false" ht="15" hidden="false" customHeight="false" outlineLevel="0" collapsed="false">
      <c r="A97" s="13"/>
      <c r="B97" s="18"/>
      <c r="C97" s="15" t="str">
        <f aca="false">IF(B97="","",INT((B97-Settings!$B$2)/7)+1)</f>
        <v/>
      </c>
      <c r="D97" s="13"/>
      <c r="E97" s="15" t="str">
        <f aca="false">IF(A97="","",OR(D97=Settings!$B$3,AND(Settings!$B$4&lt;&gt;"",D97=Settings!$B$4)))</f>
        <v/>
      </c>
      <c r="F97" s="13"/>
      <c r="G97" s="13"/>
      <c r="H97" s="13"/>
      <c r="I97" s="13"/>
      <c r="J97" s="13"/>
      <c r="K97" s="18"/>
      <c r="L97" s="13"/>
      <c r="M97" s="15" t="str">
        <f aca="false">IF(A97="","",COUNTIFS(Quotes!$B$2:$B$301,A97,Quotes!$G$2:$G$301,"Y"))</f>
        <v/>
      </c>
      <c r="N97" s="17" t="str">
        <f aca="false">IF(A97="","",IF(M97=0,"",_xlfn.MINIFS(Quotes!$F$2:$F$301,Quotes!$B$2:$B$301,A97,Quotes!$G$2:$G$301,"Y")))</f>
        <v/>
      </c>
      <c r="O97" s="15" t="str">
        <f aca="false">IF(A97="","",AND(E97,G97="Y"))</f>
        <v/>
      </c>
      <c r="P97" s="17" t="str">
        <f aca="false">IF(A97="","",IF(AND(O97,N97&lt;&gt;""),N97,""))</f>
        <v/>
      </c>
      <c r="Q97" s="15" t="str">
        <f aca="false">IF(A97="","",COUNTIF(Picks!$A$2:$A$301,A97)&gt;0)</f>
        <v/>
      </c>
      <c r="R97" s="13"/>
      <c r="S97" s="13"/>
      <c r="T97" s="15" t="str">
        <f aca="false">IF(A97="","",COUNTIF(Nudges!$C$2:$C$301,A97)&gt;0)</f>
        <v/>
      </c>
      <c r="U97" s="8"/>
      <c r="V97" s="8"/>
    </row>
    <row r="98" customFormat="false" ht="15" hidden="false" customHeight="false" outlineLevel="0" collapsed="false">
      <c r="A98" s="13"/>
      <c r="B98" s="18"/>
      <c r="C98" s="15" t="str">
        <f aca="false">IF(B98="","",INT((B98-Settings!$B$2)/7)+1)</f>
        <v/>
      </c>
      <c r="D98" s="13"/>
      <c r="E98" s="15" t="str">
        <f aca="false">IF(A98="","",OR(D98=Settings!$B$3,AND(Settings!$B$4&lt;&gt;"",D98=Settings!$B$4)))</f>
        <v/>
      </c>
      <c r="F98" s="13"/>
      <c r="G98" s="13"/>
      <c r="H98" s="13"/>
      <c r="I98" s="13"/>
      <c r="J98" s="13"/>
      <c r="K98" s="18"/>
      <c r="L98" s="13"/>
      <c r="M98" s="15" t="str">
        <f aca="false">IF(A98="","",COUNTIFS(Quotes!$B$2:$B$301,A98,Quotes!$G$2:$G$301,"Y"))</f>
        <v/>
      </c>
      <c r="N98" s="17" t="str">
        <f aca="false">IF(A98="","",IF(M98=0,"",_xlfn.MINIFS(Quotes!$F$2:$F$301,Quotes!$B$2:$B$301,A98,Quotes!$G$2:$G$301,"Y")))</f>
        <v/>
      </c>
      <c r="O98" s="15" t="str">
        <f aca="false">IF(A98="","",AND(E98,G98="Y"))</f>
        <v/>
      </c>
      <c r="P98" s="17" t="str">
        <f aca="false">IF(A98="","",IF(AND(O98,N98&lt;&gt;""),N98,""))</f>
        <v/>
      </c>
      <c r="Q98" s="15" t="str">
        <f aca="false">IF(A98="","",COUNTIF(Picks!$A$2:$A$301,A98)&gt;0)</f>
        <v/>
      </c>
      <c r="R98" s="13"/>
      <c r="S98" s="13"/>
      <c r="T98" s="15" t="str">
        <f aca="false">IF(A98="","",COUNTIF(Nudges!$C$2:$C$301,A98)&gt;0)</f>
        <v/>
      </c>
      <c r="U98" s="8"/>
      <c r="V98" s="8"/>
    </row>
    <row r="99" customFormat="false" ht="15" hidden="false" customHeight="false" outlineLevel="0" collapsed="false">
      <c r="A99" s="13"/>
      <c r="B99" s="18"/>
      <c r="C99" s="15" t="str">
        <f aca="false">IF(B99="","",INT((B99-Settings!$B$2)/7)+1)</f>
        <v/>
      </c>
      <c r="D99" s="13"/>
      <c r="E99" s="15" t="str">
        <f aca="false">IF(A99="","",OR(D99=Settings!$B$3,AND(Settings!$B$4&lt;&gt;"",D99=Settings!$B$4)))</f>
        <v/>
      </c>
      <c r="F99" s="13"/>
      <c r="G99" s="13"/>
      <c r="H99" s="13"/>
      <c r="I99" s="13"/>
      <c r="J99" s="13"/>
      <c r="K99" s="18"/>
      <c r="L99" s="13"/>
      <c r="M99" s="15" t="str">
        <f aca="false">IF(A99="","",COUNTIFS(Quotes!$B$2:$B$301,A99,Quotes!$G$2:$G$301,"Y"))</f>
        <v/>
      </c>
      <c r="N99" s="17" t="str">
        <f aca="false">IF(A99="","",IF(M99=0,"",_xlfn.MINIFS(Quotes!$F$2:$F$301,Quotes!$B$2:$B$301,A99,Quotes!$G$2:$G$301,"Y")))</f>
        <v/>
      </c>
      <c r="O99" s="15" t="str">
        <f aca="false">IF(A99="","",AND(E99,G99="Y"))</f>
        <v/>
      </c>
      <c r="P99" s="17" t="str">
        <f aca="false">IF(A99="","",IF(AND(O99,N99&lt;&gt;""),N99,""))</f>
        <v/>
      </c>
      <c r="Q99" s="15" t="str">
        <f aca="false">IF(A99="","",COUNTIF(Picks!$A$2:$A$301,A99)&gt;0)</f>
        <v/>
      </c>
      <c r="R99" s="13"/>
      <c r="S99" s="13"/>
      <c r="T99" s="15" t="str">
        <f aca="false">IF(A99="","",COUNTIF(Nudges!$C$2:$C$301,A99)&gt;0)</f>
        <v/>
      </c>
      <c r="U99" s="8"/>
      <c r="V99" s="8"/>
    </row>
    <row r="100" customFormat="false" ht="15" hidden="false" customHeight="false" outlineLevel="0" collapsed="false">
      <c r="A100" s="13"/>
      <c r="B100" s="18"/>
      <c r="C100" s="15" t="str">
        <f aca="false">IF(B100="","",INT((B100-Settings!$B$2)/7)+1)</f>
        <v/>
      </c>
      <c r="D100" s="13"/>
      <c r="E100" s="15" t="str">
        <f aca="false">IF(A100="","",OR(D100=Settings!$B$3,AND(Settings!$B$4&lt;&gt;"",D100=Settings!$B$4)))</f>
        <v/>
      </c>
      <c r="F100" s="13"/>
      <c r="G100" s="13"/>
      <c r="H100" s="13"/>
      <c r="I100" s="13"/>
      <c r="J100" s="13"/>
      <c r="K100" s="18"/>
      <c r="L100" s="13"/>
      <c r="M100" s="15" t="str">
        <f aca="false">IF(A100="","",COUNTIFS(Quotes!$B$2:$B$301,A100,Quotes!$G$2:$G$301,"Y"))</f>
        <v/>
      </c>
      <c r="N100" s="17" t="str">
        <f aca="false">IF(A100="","",IF(M100=0,"",_xlfn.MINIFS(Quotes!$F$2:$F$301,Quotes!$B$2:$B$301,A100,Quotes!$G$2:$G$301,"Y")))</f>
        <v/>
      </c>
      <c r="O100" s="15" t="str">
        <f aca="false">IF(A100="","",AND(E100,G100="Y"))</f>
        <v/>
      </c>
      <c r="P100" s="17" t="str">
        <f aca="false">IF(A100="","",IF(AND(O100,N100&lt;&gt;""),N100,""))</f>
        <v/>
      </c>
      <c r="Q100" s="15" t="str">
        <f aca="false">IF(A100="","",COUNTIF(Picks!$A$2:$A$301,A100)&gt;0)</f>
        <v/>
      </c>
      <c r="R100" s="13"/>
      <c r="S100" s="13"/>
      <c r="T100" s="15" t="str">
        <f aca="false">IF(A100="","",COUNTIF(Nudges!$C$2:$C$301,A100)&gt;0)</f>
        <v/>
      </c>
      <c r="U100" s="8"/>
      <c r="V100" s="8"/>
    </row>
    <row r="101" customFormat="false" ht="15" hidden="false" customHeight="false" outlineLevel="0" collapsed="false">
      <c r="A101" s="13"/>
      <c r="B101" s="18"/>
      <c r="C101" s="15" t="str">
        <f aca="false">IF(B101="","",INT((B101-Settings!$B$2)/7)+1)</f>
        <v/>
      </c>
      <c r="D101" s="13"/>
      <c r="E101" s="15" t="str">
        <f aca="false">IF(A101="","",OR(D101=Settings!$B$3,AND(Settings!$B$4&lt;&gt;"",D101=Settings!$B$4)))</f>
        <v/>
      </c>
      <c r="F101" s="13"/>
      <c r="G101" s="13"/>
      <c r="H101" s="13"/>
      <c r="I101" s="13"/>
      <c r="J101" s="13"/>
      <c r="K101" s="18"/>
      <c r="L101" s="13"/>
      <c r="M101" s="15" t="str">
        <f aca="false">IF(A101="","",COUNTIFS(Quotes!$B$2:$B$301,A101,Quotes!$G$2:$G$301,"Y"))</f>
        <v/>
      </c>
      <c r="N101" s="17" t="str">
        <f aca="false">IF(A101="","",IF(M101=0,"",_xlfn.MINIFS(Quotes!$F$2:$F$301,Quotes!$B$2:$B$301,A101,Quotes!$G$2:$G$301,"Y")))</f>
        <v/>
      </c>
      <c r="O101" s="15" t="str">
        <f aca="false">IF(A101="","",AND(E101,G101="Y"))</f>
        <v/>
      </c>
      <c r="P101" s="17" t="str">
        <f aca="false">IF(A101="","",IF(AND(O101,N101&lt;&gt;""),N101,""))</f>
        <v/>
      </c>
      <c r="Q101" s="15" t="str">
        <f aca="false">IF(A101="","",COUNTIF(Picks!$A$2:$A$301,A101)&gt;0)</f>
        <v/>
      </c>
      <c r="R101" s="13"/>
      <c r="S101" s="13"/>
      <c r="T101" s="15" t="str">
        <f aca="false">IF(A101="","",COUNTIF(Nudges!$C$2:$C$301,A101)&gt;0)</f>
        <v/>
      </c>
      <c r="U101" s="8"/>
      <c r="V101" s="8"/>
    </row>
    <row r="102" customFormat="false" ht="15" hidden="false" customHeight="false" outlineLevel="0" collapsed="false">
      <c r="A102" s="13"/>
      <c r="B102" s="18"/>
      <c r="C102" s="15" t="str">
        <f aca="false">IF(B102="","",INT((B102-Settings!$B$2)/7)+1)</f>
        <v/>
      </c>
      <c r="D102" s="13"/>
      <c r="E102" s="15" t="str">
        <f aca="false">IF(A102="","",OR(D102=Settings!$B$3,AND(Settings!$B$4&lt;&gt;"",D102=Settings!$B$4)))</f>
        <v/>
      </c>
      <c r="F102" s="13"/>
      <c r="G102" s="13"/>
      <c r="H102" s="13"/>
      <c r="I102" s="13"/>
      <c r="J102" s="13"/>
      <c r="K102" s="18"/>
      <c r="L102" s="13"/>
      <c r="M102" s="15" t="str">
        <f aca="false">IF(A102="","",COUNTIFS(Quotes!$B$2:$B$301,A102,Quotes!$G$2:$G$301,"Y"))</f>
        <v/>
      </c>
      <c r="N102" s="17" t="str">
        <f aca="false">IF(A102="","",IF(M102=0,"",_xlfn.MINIFS(Quotes!$F$2:$F$301,Quotes!$B$2:$B$301,A102,Quotes!$G$2:$G$301,"Y")))</f>
        <v/>
      </c>
      <c r="O102" s="15" t="str">
        <f aca="false">IF(A102="","",AND(E102,G102="Y"))</f>
        <v/>
      </c>
      <c r="P102" s="17" t="str">
        <f aca="false">IF(A102="","",IF(AND(O102,N102&lt;&gt;""),N102,""))</f>
        <v/>
      </c>
      <c r="Q102" s="15" t="str">
        <f aca="false">IF(A102="","",COUNTIF(Picks!$A$2:$A$301,A102)&gt;0)</f>
        <v/>
      </c>
      <c r="R102" s="13"/>
      <c r="S102" s="13"/>
      <c r="T102" s="15" t="str">
        <f aca="false">IF(A102="","",COUNTIF(Nudges!$C$2:$C$301,A102)&gt;0)</f>
        <v/>
      </c>
      <c r="U102" s="8"/>
      <c r="V102" s="8"/>
    </row>
    <row r="103" customFormat="false" ht="15" hidden="false" customHeight="false" outlineLevel="0" collapsed="false">
      <c r="A103" s="13"/>
      <c r="B103" s="18"/>
      <c r="C103" s="15" t="str">
        <f aca="false">IF(B103="","",INT((B103-Settings!$B$2)/7)+1)</f>
        <v/>
      </c>
      <c r="D103" s="13"/>
      <c r="E103" s="15" t="str">
        <f aca="false">IF(A103="","",OR(D103=Settings!$B$3,AND(Settings!$B$4&lt;&gt;"",D103=Settings!$B$4)))</f>
        <v/>
      </c>
      <c r="F103" s="13"/>
      <c r="G103" s="13"/>
      <c r="H103" s="13"/>
      <c r="I103" s="13"/>
      <c r="J103" s="13"/>
      <c r="K103" s="18"/>
      <c r="L103" s="13"/>
      <c r="M103" s="15" t="str">
        <f aca="false">IF(A103="","",COUNTIFS(Quotes!$B$2:$B$301,A103,Quotes!$G$2:$G$301,"Y"))</f>
        <v/>
      </c>
      <c r="N103" s="17" t="str">
        <f aca="false">IF(A103="","",IF(M103=0,"",_xlfn.MINIFS(Quotes!$F$2:$F$301,Quotes!$B$2:$B$301,A103,Quotes!$G$2:$G$301,"Y")))</f>
        <v/>
      </c>
      <c r="O103" s="15" t="str">
        <f aca="false">IF(A103="","",AND(E103,G103="Y"))</f>
        <v/>
      </c>
      <c r="P103" s="17" t="str">
        <f aca="false">IF(A103="","",IF(AND(O103,N103&lt;&gt;""),N103,""))</f>
        <v/>
      </c>
      <c r="Q103" s="15" t="str">
        <f aca="false">IF(A103="","",COUNTIF(Picks!$A$2:$A$301,A103)&gt;0)</f>
        <v/>
      </c>
      <c r="R103" s="13"/>
      <c r="S103" s="13"/>
      <c r="T103" s="15" t="str">
        <f aca="false">IF(A103="","",COUNTIF(Nudges!$C$2:$C$301,A103)&gt;0)</f>
        <v/>
      </c>
      <c r="U103" s="8"/>
      <c r="V103" s="8"/>
    </row>
    <row r="104" customFormat="false" ht="15" hidden="false" customHeight="false" outlineLevel="0" collapsed="false">
      <c r="A104" s="13"/>
      <c r="B104" s="18"/>
      <c r="C104" s="15" t="str">
        <f aca="false">IF(B104="","",INT((B104-Settings!$B$2)/7)+1)</f>
        <v/>
      </c>
      <c r="D104" s="13"/>
      <c r="E104" s="15" t="str">
        <f aca="false">IF(A104="","",OR(D104=Settings!$B$3,AND(Settings!$B$4&lt;&gt;"",D104=Settings!$B$4)))</f>
        <v/>
      </c>
      <c r="F104" s="13"/>
      <c r="G104" s="13"/>
      <c r="H104" s="13"/>
      <c r="I104" s="13"/>
      <c r="J104" s="13"/>
      <c r="K104" s="18"/>
      <c r="L104" s="13"/>
      <c r="M104" s="15" t="str">
        <f aca="false">IF(A104="","",COUNTIFS(Quotes!$B$2:$B$301,A104,Quotes!$G$2:$G$301,"Y"))</f>
        <v/>
      </c>
      <c r="N104" s="17" t="str">
        <f aca="false">IF(A104="","",IF(M104=0,"",_xlfn.MINIFS(Quotes!$F$2:$F$301,Quotes!$B$2:$B$301,A104,Quotes!$G$2:$G$301,"Y")))</f>
        <v/>
      </c>
      <c r="O104" s="15" t="str">
        <f aca="false">IF(A104="","",AND(E104,G104="Y"))</f>
        <v/>
      </c>
      <c r="P104" s="17" t="str">
        <f aca="false">IF(A104="","",IF(AND(O104,N104&lt;&gt;""),N104,""))</f>
        <v/>
      </c>
      <c r="Q104" s="15" t="str">
        <f aca="false">IF(A104="","",COUNTIF(Picks!$A$2:$A$301,A104)&gt;0)</f>
        <v/>
      </c>
      <c r="R104" s="13"/>
      <c r="S104" s="13"/>
      <c r="T104" s="15" t="str">
        <f aca="false">IF(A104="","",COUNTIF(Nudges!$C$2:$C$301,A104)&gt;0)</f>
        <v/>
      </c>
      <c r="U104" s="8"/>
      <c r="V104" s="8"/>
    </row>
    <row r="105" customFormat="false" ht="15" hidden="false" customHeight="false" outlineLevel="0" collapsed="false">
      <c r="A105" s="13"/>
      <c r="B105" s="18"/>
      <c r="C105" s="15" t="str">
        <f aca="false">IF(B105="","",INT((B105-Settings!$B$2)/7)+1)</f>
        <v/>
      </c>
      <c r="D105" s="13"/>
      <c r="E105" s="15" t="str">
        <f aca="false">IF(A105="","",OR(D105=Settings!$B$3,AND(Settings!$B$4&lt;&gt;"",D105=Settings!$B$4)))</f>
        <v/>
      </c>
      <c r="F105" s="13"/>
      <c r="G105" s="13"/>
      <c r="H105" s="13"/>
      <c r="I105" s="13"/>
      <c r="J105" s="13"/>
      <c r="K105" s="18"/>
      <c r="L105" s="13"/>
      <c r="M105" s="15" t="str">
        <f aca="false">IF(A105="","",COUNTIFS(Quotes!$B$2:$B$301,A105,Quotes!$G$2:$G$301,"Y"))</f>
        <v/>
      </c>
      <c r="N105" s="17" t="str">
        <f aca="false">IF(A105="","",IF(M105=0,"",_xlfn.MINIFS(Quotes!$F$2:$F$301,Quotes!$B$2:$B$301,A105,Quotes!$G$2:$G$301,"Y")))</f>
        <v/>
      </c>
      <c r="O105" s="15" t="str">
        <f aca="false">IF(A105="","",AND(E105,G105="Y"))</f>
        <v/>
      </c>
      <c r="P105" s="17" t="str">
        <f aca="false">IF(A105="","",IF(AND(O105,N105&lt;&gt;""),N105,""))</f>
        <v/>
      </c>
      <c r="Q105" s="15" t="str">
        <f aca="false">IF(A105="","",COUNTIF(Picks!$A$2:$A$301,A105)&gt;0)</f>
        <v/>
      </c>
      <c r="R105" s="13"/>
      <c r="S105" s="13"/>
      <c r="T105" s="15" t="str">
        <f aca="false">IF(A105="","",COUNTIF(Nudges!$C$2:$C$301,A105)&gt;0)</f>
        <v/>
      </c>
      <c r="U105" s="8"/>
      <c r="V105" s="8"/>
    </row>
    <row r="106" customFormat="false" ht="15" hidden="false" customHeight="false" outlineLevel="0" collapsed="false">
      <c r="A106" s="13"/>
      <c r="B106" s="18"/>
      <c r="C106" s="15" t="str">
        <f aca="false">IF(B106="","",INT((B106-Settings!$B$2)/7)+1)</f>
        <v/>
      </c>
      <c r="D106" s="13"/>
      <c r="E106" s="15" t="str">
        <f aca="false">IF(A106="","",OR(D106=Settings!$B$3,AND(Settings!$B$4&lt;&gt;"",D106=Settings!$B$4)))</f>
        <v/>
      </c>
      <c r="F106" s="13"/>
      <c r="G106" s="13"/>
      <c r="H106" s="13"/>
      <c r="I106" s="13"/>
      <c r="J106" s="13"/>
      <c r="K106" s="18"/>
      <c r="L106" s="13"/>
      <c r="M106" s="15" t="str">
        <f aca="false">IF(A106="","",COUNTIFS(Quotes!$B$2:$B$301,A106,Quotes!$G$2:$G$301,"Y"))</f>
        <v/>
      </c>
      <c r="N106" s="17" t="str">
        <f aca="false">IF(A106="","",IF(M106=0,"",_xlfn.MINIFS(Quotes!$F$2:$F$301,Quotes!$B$2:$B$301,A106,Quotes!$G$2:$G$301,"Y")))</f>
        <v/>
      </c>
      <c r="O106" s="15" t="str">
        <f aca="false">IF(A106="","",AND(E106,G106="Y"))</f>
        <v/>
      </c>
      <c r="P106" s="17" t="str">
        <f aca="false">IF(A106="","",IF(AND(O106,N106&lt;&gt;""),N106,""))</f>
        <v/>
      </c>
      <c r="Q106" s="15" t="str">
        <f aca="false">IF(A106="","",COUNTIF(Picks!$A$2:$A$301,A106)&gt;0)</f>
        <v/>
      </c>
      <c r="R106" s="13"/>
      <c r="S106" s="13"/>
      <c r="T106" s="15" t="str">
        <f aca="false">IF(A106="","",COUNTIF(Nudges!$C$2:$C$301,A106)&gt;0)</f>
        <v/>
      </c>
      <c r="U106" s="8"/>
      <c r="V106" s="8"/>
    </row>
    <row r="107" customFormat="false" ht="15" hidden="false" customHeight="false" outlineLevel="0" collapsed="false">
      <c r="A107" s="13"/>
      <c r="B107" s="18"/>
      <c r="C107" s="15" t="str">
        <f aca="false">IF(B107="","",INT((B107-Settings!$B$2)/7)+1)</f>
        <v/>
      </c>
      <c r="D107" s="13"/>
      <c r="E107" s="15" t="str">
        <f aca="false">IF(A107="","",OR(D107=Settings!$B$3,AND(Settings!$B$4&lt;&gt;"",D107=Settings!$B$4)))</f>
        <v/>
      </c>
      <c r="F107" s="13"/>
      <c r="G107" s="13"/>
      <c r="H107" s="13"/>
      <c r="I107" s="13"/>
      <c r="J107" s="13"/>
      <c r="K107" s="18"/>
      <c r="L107" s="13"/>
      <c r="M107" s="15" t="str">
        <f aca="false">IF(A107="","",COUNTIFS(Quotes!$B$2:$B$301,A107,Quotes!$G$2:$G$301,"Y"))</f>
        <v/>
      </c>
      <c r="N107" s="17" t="str">
        <f aca="false">IF(A107="","",IF(M107=0,"",_xlfn.MINIFS(Quotes!$F$2:$F$301,Quotes!$B$2:$B$301,A107,Quotes!$G$2:$G$301,"Y")))</f>
        <v/>
      </c>
      <c r="O107" s="15" t="str">
        <f aca="false">IF(A107="","",AND(E107,G107="Y"))</f>
        <v/>
      </c>
      <c r="P107" s="17" t="str">
        <f aca="false">IF(A107="","",IF(AND(O107,N107&lt;&gt;""),N107,""))</f>
        <v/>
      </c>
      <c r="Q107" s="15" t="str">
        <f aca="false">IF(A107="","",COUNTIF(Picks!$A$2:$A$301,A107)&gt;0)</f>
        <v/>
      </c>
      <c r="R107" s="13"/>
      <c r="S107" s="13"/>
      <c r="T107" s="15" t="str">
        <f aca="false">IF(A107="","",COUNTIF(Nudges!$C$2:$C$301,A107)&gt;0)</f>
        <v/>
      </c>
      <c r="U107" s="8"/>
      <c r="V107" s="8"/>
    </row>
    <row r="108" customFormat="false" ht="15" hidden="false" customHeight="false" outlineLevel="0" collapsed="false">
      <c r="A108" s="13"/>
      <c r="B108" s="18"/>
      <c r="C108" s="15" t="str">
        <f aca="false">IF(B108="","",INT((B108-Settings!$B$2)/7)+1)</f>
        <v/>
      </c>
      <c r="D108" s="13"/>
      <c r="E108" s="15" t="str">
        <f aca="false">IF(A108="","",OR(D108=Settings!$B$3,AND(Settings!$B$4&lt;&gt;"",D108=Settings!$B$4)))</f>
        <v/>
      </c>
      <c r="F108" s="13"/>
      <c r="G108" s="13"/>
      <c r="H108" s="13"/>
      <c r="I108" s="13"/>
      <c r="J108" s="13"/>
      <c r="K108" s="18"/>
      <c r="L108" s="13"/>
      <c r="M108" s="15" t="str">
        <f aca="false">IF(A108="","",COUNTIFS(Quotes!$B$2:$B$301,A108,Quotes!$G$2:$G$301,"Y"))</f>
        <v/>
      </c>
      <c r="N108" s="17" t="str">
        <f aca="false">IF(A108="","",IF(M108=0,"",_xlfn.MINIFS(Quotes!$F$2:$F$301,Quotes!$B$2:$B$301,A108,Quotes!$G$2:$G$301,"Y")))</f>
        <v/>
      </c>
      <c r="O108" s="15" t="str">
        <f aca="false">IF(A108="","",AND(E108,G108="Y"))</f>
        <v/>
      </c>
      <c r="P108" s="17" t="str">
        <f aca="false">IF(A108="","",IF(AND(O108,N108&lt;&gt;""),N108,""))</f>
        <v/>
      </c>
      <c r="Q108" s="15" t="str">
        <f aca="false">IF(A108="","",COUNTIF(Picks!$A$2:$A$301,A108)&gt;0)</f>
        <v/>
      </c>
      <c r="R108" s="13"/>
      <c r="S108" s="13"/>
      <c r="T108" s="15" t="str">
        <f aca="false">IF(A108="","",COUNTIF(Nudges!$C$2:$C$301,A108)&gt;0)</f>
        <v/>
      </c>
      <c r="U108" s="8"/>
      <c r="V108" s="8"/>
    </row>
    <row r="109" customFormat="false" ht="15" hidden="false" customHeight="false" outlineLevel="0" collapsed="false">
      <c r="A109" s="13"/>
      <c r="B109" s="18"/>
      <c r="C109" s="15" t="str">
        <f aca="false">IF(B109="","",INT((B109-Settings!$B$2)/7)+1)</f>
        <v/>
      </c>
      <c r="D109" s="13"/>
      <c r="E109" s="15" t="str">
        <f aca="false">IF(A109="","",OR(D109=Settings!$B$3,AND(Settings!$B$4&lt;&gt;"",D109=Settings!$B$4)))</f>
        <v/>
      </c>
      <c r="F109" s="13"/>
      <c r="G109" s="13"/>
      <c r="H109" s="13"/>
      <c r="I109" s="13"/>
      <c r="J109" s="13"/>
      <c r="K109" s="18"/>
      <c r="L109" s="13"/>
      <c r="M109" s="15" t="str">
        <f aca="false">IF(A109="","",COUNTIFS(Quotes!$B$2:$B$301,A109,Quotes!$G$2:$G$301,"Y"))</f>
        <v/>
      </c>
      <c r="N109" s="17" t="str">
        <f aca="false">IF(A109="","",IF(M109=0,"",_xlfn.MINIFS(Quotes!$F$2:$F$301,Quotes!$B$2:$B$301,A109,Quotes!$G$2:$G$301,"Y")))</f>
        <v/>
      </c>
      <c r="O109" s="15" t="str">
        <f aca="false">IF(A109="","",AND(E109,G109="Y"))</f>
        <v/>
      </c>
      <c r="P109" s="17" t="str">
        <f aca="false">IF(A109="","",IF(AND(O109,N109&lt;&gt;""),N109,""))</f>
        <v/>
      </c>
      <c r="Q109" s="15" t="str">
        <f aca="false">IF(A109="","",COUNTIF(Picks!$A$2:$A$301,A109)&gt;0)</f>
        <v/>
      </c>
      <c r="R109" s="13"/>
      <c r="S109" s="13"/>
      <c r="T109" s="15" t="str">
        <f aca="false">IF(A109="","",COUNTIF(Nudges!$C$2:$C$301,A109)&gt;0)</f>
        <v/>
      </c>
      <c r="U109" s="8"/>
      <c r="V109" s="8"/>
    </row>
    <row r="110" customFormat="false" ht="15" hidden="false" customHeight="false" outlineLevel="0" collapsed="false">
      <c r="A110" s="13"/>
      <c r="B110" s="18"/>
      <c r="C110" s="15" t="str">
        <f aca="false">IF(B110="","",INT((B110-Settings!$B$2)/7)+1)</f>
        <v/>
      </c>
      <c r="D110" s="13"/>
      <c r="E110" s="15" t="str">
        <f aca="false">IF(A110="","",OR(D110=Settings!$B$3,AND(Settings!$B$4&lt;&gt;"",D110=Settings!$B$4)))</f>
        <v/>
      </c>
      <c r="F110" s="13"/>
      <c r="G110" s="13"/>
      <c r="H110" s="13"/>
      <c r="I110" s="13"/>
      <c r="J110" s="13"/>
      <c r="K110" s="18"/>
      <c r="L110" s="13"/>
      <c r="M110" s="15" t="str">
        <f aca="false">IF(A110="","",COUNTIFS(Quotes!$B$2:$B$301,A110,Quotes!$G$2:$G$301,"Y"))</f>
        <v/>
      </c>
      <c r="N110" s="17" t="str">
        <f aca="false">IF(A110="","",IF(M110=0,"",_xlfn.MINIFS(Quotes!$F$2:$F$301,Quotes!$B$2:$B$301,A110,Quotes!$G$2:$G$301,"Y")))</f>
        <v/>
      </c>
      <c r="O110" s="15" t="str">
        <f aca="false">IF(A110="","",AND(E110,G110="Y"))</f>
        <v/>
      </c>
      <c r="P110" s="17" t="str">
        <f aca="false">IF(A110="","",IF(AND(O110,N110&lt;&gt;""),N110,""))</f>
        <v/>
      </c>
      <c r="Q110" s="15" t="str">
        <f aca="false">IF(A110="","",COUNTIF(Picks!$A$2:$A$301,A110)&gt;0)</f>
        <v/>
      </c>
      <c r="R110" s="13"/>
      <c r="S110" s="13"/>
      <c r="T110" s="15" t="str">
        <f aca="false">IF(A110="","",COUNTIF(Nudges!$C$2:$C$301,A110)&gt;0)</f>
        <v/>
      </c>
      <c r="U110" s="8"/>
      <c r="V110" s="8"/>
    </row>
    <row r="111" customFormat="false" ht="15" hidden="false" customHeight="false" outlineLevel="0" collapsed="false">
      <c r="A111" s="13"/>
      <c r="B111" s="18"/>
      <c r="C111" s="15" t="str">
        <f aca="false">IF(B111="","",INT((B111-Settings!$B$2)/7)+1)</f>
        <v/>
      </c>
      <c r="D111" s="13"/>
      <c r="E111" s="15" t="str">
        <f aca="false">IF(A111="","",OR(D111=Settings!$B$3,AND(Settings!$B$4&lt;&gt;"",D111=Settings!$B$4)))</f>
        <v/>
      </c>
      <c r="F111" s="13"/>
      <c r="G111" s="13"/>
      <c r="H111" s="13"/>
      <c r="I111" s="13"/>
      <c r="J111" s="13"/>
      <c r="K111" s="18"/>
      <c r="L111" s="13"/>
      <c r="M111" s="15" t="str">
        <f aca="false">IF(A111="","",COUNTIFS(Quotes!$B$2:$B$301,A111,Quotes!$G$2:$G$301,"Y"))</f>
        <v/>
      </c>
      <c r="N111" s="17" t="str">
        <f aca="false">IF(A111="","",IF(M111=0,"",_xlfn.MINIFS(Quotes!$F$2:$F$301,Quotes!$B$2:$B$301,A111,Quotes!$G$2:$G$301,"Y")))</f>
        <v/>
      </c>
      <c r="O111" s="15" t="str">
        <f aca="false">IF(A111="","",AND(E111,G111="Y"))</f>
        <v/>
      </c>
      <c r="P111" s="17" t="str">
        <f aca="false">IF(A111="","",IF(AND(O111,N111&lt;&gt;""),N111,""))</f>
        <v/>
      </c>
      <c r="Q111" s="15" t="str">
        <f aca="false">IF(A111="","",COUNTIF(Picks!$A$2:$A$301,A111)&gt;0)</f>
        <v/>
      </c>
      <c r="R111" s="13"/>
      <c r="S111" s="13"/>
      <c r="T111" s="15" t="str">
        <f aca="false">IF(A111="","",COUNTIF(Nudges!$C$2:$C$301,A111)&gt;0)</f>
        <v/>
      </c>
      <c r="U111" s="8"/>
      <c r="V111" s="8"/>
    </row>
    <row r="112" customFormat="false" ht="15" hidden="false" customHeight="false" outlineLevel="0" collapsed="false">
      <c r="A112" s="13"/>
      <c r="B112" s="18"/>
      <c r="C112" s="15" t="str">
        <f aca="false">IF(B112="","",INT((B112-Settings!$B$2)/7)+1)</f>
        <v/>
      </c>
      <c r="D112" s="13"/>
      <c r="E112" s="15" t="str">
        <f aca="false">IF(A112="","",OR(D112=Settings!$B$3,AND(Settings!$B$4&lt;&gt;"",D112=Settings!$B$4)))</f>
        <v/>
      </c>
      <c r="F112" s="13"/>
      <c r="G112" s="13"/>
      <c r="H112" s="13"/>
      <c r="I112" s="13"/>
      <c r="J112" s="13"/>
      <c r="K112" s="18"/>
      <c r="L112" s="13"/>
      <c r="M112" s="15" t="str">
        <f aca="false">IF(A112="","",COUNTIFS(Quotes!$B$2:$B$301,A112,Quotes!$G$2:$G$301,"Y"))</f>
        <v/>
      </c>
      <c r="N112" s="17" t="str">
        <f aca="false">IF(A112="","",IF(M112=0,"",_xlfn.MINIFS(Quotes!$F$2:$F$301,Quotes!$B$2:$B$301,A112,Quotes!$G$2:$G$301,"Y")))</f>
        <v/>
      </c>
      <c r="O112" s="15" t="str">
        <f aca="false">IF(A112="","",AND(E112,G112="Y"))</f>
        <v/>
      </c>
      <c r="P112" s="17" t="str">
        <f aca="false">IF(A112="","",IF(AND(O112,N112&lt;&gt;""),N112,""))</f>
        <v/>
      </c>
      <c r="Q112" s="15" t="str">
        <f aca="false">IF(A112="","",COUNTIF(Picks!$A$2:$A$301,A112)&gt;0)</f>
        <v/>
      </c>
      <c r="R112" s="13"/>
      <c r="S112" s="13"/>
      <c r="T112" s="15" t="str">
        <f aca="false">IF(A112="","",COUNTIF(Nudges!$C$2:$C$301,A112)&gt;0)</f>
        <v/>
      </c>
      <c r="U112" s="8"/>
      <c r="V112" s="8"/>
    </row>
    <row r="113" customFormat="false" ht="15" hidden="false" customHeight="false" outlineLevel="0" collapsed="false">
      <c r="A113" s="13"/>
      <c r="B113" s="18"/>
      <c r="C113" s="15" t="str">
        <f aca="false">IF(B113="","",INT((B113-Settings!$B$2)/7)+1)</f>
        <v/>
      </c>
      <c r="D113" s="13"/>
      <c r="E113" s="15" t="str">
        <f aca="false">IF(A113="","",OR(D113=Settings!$B$3,AND(Settings!$B$4&lt;&gt;"",D113=Settings!$B$4)))</f>
        <v/>
      </c>
      <c r="F113" s="13"/>
      <c r="G113" s="13"/>
      <c r="H113" s="13"/>
      <c r="I113" s="13"/>
      <c r="J113" s="13"/>
      <c r="K113" s="18"/>
      <c r="L113" s="13"/>
      <c r="M113" s="15" t="str">
        <f aca="false">IF(A113="","",COUNTIFS(Quotes!$B$2:$B$301,A113,Quotes!$G$2:$G$301,"Y"))</f>
        <v/>
      </c>
      <c r="N113" s="17" t="str">
        <f aca="false">IF(A113="","",IF(M113=0,"",_xlfn.MINIFS(Quotes!$F$2:$F$301,Quotes!$B$2:$B$301,A113,Quotes!$G$2:$G$301,"Y")))</f>
        <v/>
      </c>
      <c r="O113" s="15" t="str">
        <f aca="false">IF(A113="","",AND(E113,G113="Y"))</f>
        <v/>
      </c>
      <c r="P113" s="17" t="str">
        <f aca="false">IF(A113="","",IF(AND(O113,N113&lt;&gt;""),N113,""))</f>
        <v/>
      </c>
      <c r="Q113" s="15" t="str">
        <f aca="false">IF(A113="","",COUNTIF(Picks!$A$2:$A$301,A113)&gt;0)</f>
        <v/>
      </c>
      <c r="R113" s="13"/>
      <c r="S113" s="13"/>
      <c r="T113" s="15" t="str">
        <f aca="false">IF(A113="","",COUNTIF(Nudges!$C$2:$C$301,A113)&gt;0)</f>
        <v/>
      </c>
      <c r="U113" s="8"/>
      <c r="V113" s="8"/>
    </row>
    <row r="114" customFormat="false" ht="15" hidden="false" customHeight="false" outlineLevel="0" collapsed="false">
      <c r="A114" s="13"/>
      <c r="B114" s="18"/>
      <c r="C114" s="15" t="str">
        <f aca="false">IF(B114="","",INT((B114-Settings!$B$2)/7)+1)</f>
        <v/>
      </c>
      <c r="D114" s="13"/>
      <c r="E114" s="15" t="str">
        <f aca="false">IF(A114="","",OR(D114=Settings!$B$3,AND(Settings!$B$4&lt;&gt;"",D114=Settings!$B$4)))</f>
        <v/>
      </c>
      <c r="F114" s="13"/>
      <c r="G114" s="13"/>
      <c r="H114" s="13"/>
      <c r="I114" s="13"/>
      <c r="J114" s="13"/>
      <c r="K114" s="18"/>
      <c r="L114" s="13"/>
      <c r="M114" s="15" t="str">
        <f aca="false">IF(A114="","",COUNTIFS(Quotes!$B$2:$B$301,A114,Quotes!$G$2:$G$301,"Y"))</f>
        <v/>
      </c>
      <c r="N114" s="17" t="str">
        <f aca="false">IF(A114="","",IF(M114=0,"",_xlfn.MINIFS(Quotes!$F$2:$F$301,Quotes!$B$2:$B$301,A114,Quotes!$G$2:$G$301,"Y")))</f>
        <v/>
      </c>
      <c r="O114" s="15" t="str">
        <f aca="false">IF(A114="","",AND(E114,G114="Y"))</f>
        <v/>
      </c>
      <c r="P114" s="17" t="str">
        <f aca="false">IF(A114="","",IF(AND(O114,N114&lt;&gt;""),N114,""))</f>
        <v/>
      </c>
      <c r="Q114" s="15" t="str">
        <f aca="false">IF(A114="","",COUNTIF(Picks!$A$2:$A$301,A114)&gt;0)</f>
        <v/>
      </c>
      <c r="R114" s="13"/>
      <c r="S114" s="13"/>
      <c r="T114" s="15" t="str">
        <f aca="false">IF(A114="","",COUNTIF(Nudges!$C$2:$C$301,A114)&gt;0)</f>
        <v/>
      </c>
      <c r="U114" s="8"/>
      <c r="V114" s="8"/>
    </row>
    <row r="115" customFormat="false" ht="15" hidden="false" customHeight="false" outlineLevel="0" collapsed="false">
      <c r="A115" s="13"/>
      <c r="B115" s="18"/>
      <c r="C115" s="15" t="str">
        <f aca="false">IF(B115="","",INT((B115-Settings!$B$2)/7)+1)</f>
        <v/>
      </c>
      <c r="D115" s="13"/>
      <c r="E115" s="15" t="str">
        <f aca="false">IF(A115="","",OR(D115=Settings!$B$3,AND(Settings!$B$4&lt;&gt;"",D115=Settings!$B$4)))</f>
        <v/>
      </c>
      <c r="F115" s="13"/>
      <c r="G115" s="13"/>
      <c r="H115" s="13"/>
      <c r="I115" s="13"/>
      <c r="J115" s="13"/>
      <c r="K115" s="18"/>
      <c r="L115" s="13"/>
      <c r="M115" s="15" t="str">
        <f aca="false">IF(A115="","",COUNTIFS(Quotes!$B$2:$B$301,A115,Quotes!$G$2:$G$301,"Y"))</f>
        <v/>
      </c>
      <c r="N115" s="17" t="str">
        <f aca="false">IF(A115="","",IF(M115=0,"",_xlfn.MINIFS(Quotes!$F$2:$F$301,Quotes!$B$2:$B$301,A115,Quotes!$G$2:$G$301,"Y")))</f>
        <v/>
      </c>
      <c r="O115" s="15" t="str">
        <f aca="false">IF(A115="","",AND(E115,G115="Y"))</f>
        <v/>
      </c>
      <c r="P115" s="17" t="str">
        <f aca="false">IF(A115="","",IF(AND(O115,N115&lt;&gt;""),N115,""))</f>
        <v/>
      </c>
      <c r="Q115" s="15" t="str">
        <f aca="false">IF(A115="","",COUNTIF(Picks!$A$2:$A$301,A115)&gt;0)</f>
        <v/>
      </c>
      <c r="R115" s="13"/>
      <c r="S115" s="13"/>
      <c r="T115" s="15" t="str">
        <f aca="false">IF(A115="","",COUNTIF(Nudges!$C$2:$C$301,A115)&gt;0)</f>
        <v/>
      </c>
      <c r="U115" s="8"/>
      <c r="V115" s="8"/>
    </row>
    <row r="116" customFormat="false" ht="15" hidden="false" customHeight="false" outlineLevel="0" collapsed="false">
      <c r="A116" s="13"/>
      <c r="B116" s="18"/>
      <c r="C116" s="15" t="str">
        <f aca="false">IF(B116="","",INT((B116-Settings!$B$2)/7)+1)</f>
        <v/>
      </c>
      <c r="D116" s="13"/>
      <c r="E116" s="15" t="str">
        <f aca="false">IF(A116="","",OR(D116=Settings!$B$3,AND(Settings!$B$4&lt;&gt;"",D116=Settings!$B$4)))</f>
        <v/>
      </c>
      <c r="F116" s="13"/>
      <c r="G116" s="13"/>
      <c r="H116" s="13"/>
      <c r="I116" s="13"/>
      <c r="J116" s="13"/>
      <c r="K116" s="18"/>
      <c r="L116" s="13"/>
      <c r="M116" s="15" t="str">
        <f aca="false">IF(A116="","",COUNTIFS(Quotes!$B$2:$B$301,A116,Quotes!$G$2:$G$301,"Y"))</f>
        <v/>
      </c>
      <c r="N116" s="17" t="str">
        <f aca="false">IF(A116="","",IF(M116=0,"",_xlfn.MINIFS(Quotes!$F$2:$F$301,Quotes!$B$2:$B$301,A116,Quotes!$G$2:$G$301,"Y")))</f>
        <v/>
      </c>
      <c r="O116" s="15" t="str">
        <f aca="false">IF(A116="","",AND(E116,G116="Y"))</f>
        <v/>
      </c>
      <c r="P116" s="17" t="str">
        <f aca="false">IF(A116="","",IF(AND(O116,N116&lt;&gt;""),N116,""))</f>
        <v/>
      </c>
      <c r="Q116" s="15" t="str">
        <f aca="false">IF(A116="","",COUNTIF(Picks!$A$2:$A$301,A116)&gt;0)</f>
        <v/>
      </c>
      <c r="R116" s="13"/>
      <c r="S116" s="13"/>
      <c r="T116" s="15" t="str">
        <f aca="false">IF(A116="","",COUNTIF(Nudges!$C$2:$C$301,A116)&gt;0)</f>
        <v/>
      </c>
      <c r="U116" s="8"/>
      <c r="V116" s="8"/>
    </row>
    <row r="117" customFormat="false" ht="15" hidden="false" customHeight="false" outlineLevel="0" collapsed="false">
      <c r="A117" s="13"/>
      <c r="B117" s="18"/>
      <c r="C117" s="15" t="str">
        <f aca="false">IF(B117="","",INT((B117-Settings!$B$2)/7)+1)</f>
        <v/>
      </c>
      <c r="D117" s="13"/>
      <c r="E117" s="15" t="str">
        <f aca="false">IF(A117="","",OR(D117=Settings!$B$3,AND(Settings!$B$4&lt;&gt;"",D117=Settings!$B$4)))</f>
        <v/>
      </c>
      <c r="F117" s="13"/>
      <c r="G117" s="13"/>
      <c r="H117" s="13"/>
      <c r="I117" s="13"/>
      <c r="J117" s="13"/>
      <c r="K117" s="18"/>
      <c r="L117" s="13"/>
      <c r="M117" s="15" t="str">
        <f aca="false">IF(A117="","",COUNTIFS(Quotes!$B$2:$B$301,A117,Quotes!$G$2:$G$301,"Y"))</f>
        <v/>
      </c>
      <c r="N117" s="17" t="str">
        <f aca="false">IF(A117="","",IF(M117=0,"",_xlfn.MINIFS(Quotes!$F$2:$F$301,Quotes!$B$2:$B$301,A117,Quotes!$G$2:$G$301,"Y")))</f>
        <v/>
      </c>
      <c r="O117" s="15" t="str">
        <f aca="false">IF(A117="","",AND(E117,G117="Y"))</f>
        <v/>
      </c>
      <c r="P117" s="17" t="str">
        <f aca="false">IF(A117="","",IF(AND(O117,N117&lt;&gt;""),N117,""))</f>
        <v/>
      </c>
      <c r="Q117" s="15" t="str">
        <f aca="false">IF(A117="","",COUNTIF(Picks!$A$2:$A$301,A117)&gt;0)</f>
        <v/>
      </c>
      <c r="R117" s="13"/>
      <c r="S117" s="13"/>
      <c r="T117" s="15" t="str">
        <f aca="false">IF(A117="","",COUNTIF(Nudges!$C$2:$C$301,A117)&gt;0)</f>
        <v/>
      </c>
      <c r="U117" s="8"/>
      <c r="V117" s="8"/>
    </row>
    <row r="118" customFormat="false" ht="15" hidden="false" customHeight="false" outlineLevel="0" collapsed="false">
      <c r="A118" s="13"/>
      <c r="B118" s="18"/>
      <c r="C118" s="15" t="str">
        <f aca="false">IF(B118="","",INT((B118-Settings!$B$2)/7)+1)</f>
        <v/>
      </c>
      <c r="D118" s="13"/>
      <c r="E118" s="15" t="str">
        <f aca="false">IF(A118="","",OR(D118=Settings!$B$3,AND(Settings!$B$4&lt;&gt;"",D118=Settings!$B$4)))</f>
        <v/>
      </c>
      <c r="F118" s="13"/>
      <c r="G118" s="13"/>
      <c r="H118" s="13"/>
      <c r="I118" s="13"/>
      <c r="J118" s="13"/>
      <c r="K118" s="18"/>
      <c r="L118" s="13"/>
      <c r="M118" s="15" t="str">
        <f aca="false">IF(A118="","",COUNTIFS(Quotes!$B$2:$B$301,A118,Quotes!$G$2:$G$301,"Y"))</f>
        <v/>
      </c>
      <c r="N118" s="17" t="str">
        <f aca="false">IF(A118="","",IF(M118=0,"",_xlfn.MINIFS(Quotes!$F$2:$F$301,Quotes!$B$2:$B$301,A118,Quotes!$G$2:$G$301,"Y")))</f>
        <v/>
      </c>
      <c r="O118" s="15" t="str">
        <f aca="false">IF(A118="","",AND(E118,G118="Y"))</f>
        <v/>
      </c>
      <c r="P118" s="17" t="str">
        <f aca="false">IF(A118="","",IF(AND(O118,N118&lt;&gt;""),N118,""))</f>
        <v/>
      </c>
      <c r="Q118" s="15" t="str">
        <f aca="false">IF(A118="","",COUNTIF(Picks!$A$2:$A$301,A118)&gt;0)</f>
        <v/>
      </c>
      <c r="R118" s="13"/>
      <c r="S118" s="13"/>
      <c r="T118" s="15" t="str">
        <f aca="false">IF(A118="","",COUNTIF(Nudges!$C$2:$C$301,A118)&gt;0)</f>
        <v/>
      </c>
      <c r="U118" s="8"/>
      <c r="V118" s="8"/>
    </row>
    <row r="119" customFormat="false" ht="15" hidden="false" customHeight="false" outlineLevel="0" collapsed="false">
      <c r="A119" s="13"/>
      <c r="B119" s="18"/>
      <c r="C119" s="15" t="str">
        <f aca="false">IF(B119="","",INT((B119-Settings!$B$2)/7)+1)</f>
        <v/>
      </c>
      <c r="D119" s="13"/>
      <c r="E119" s="15" t="str">
        <f aca="false">IF(A119="","",OR(D119=Settings!$B$3,AND(Settings!$B$4&lt;&gt;"",D119=Settings!$B$4)))</f>
        <v/>
      </c>
      <c r="F119" s="13"/>
      <c r="G119" s="13"/>
      <c r="H119" s="13"/>
      <c r="I119" s="13"/>
      <c r="J119" s="13"/>
      <c r="K119" s="18"/>
      <c r="L119" s="13"/>
      <c r="M119" s="15" t="str">
        <f aca="false">IF(A119="","",COUNTIFS(Quotes!$B$2:$B$301,A119,Quotes!$G$2:$G$301,"Y"))</f>
        <v/>
      </c>
      <c r="N119" s="17" t="str">
        <f aca="false">IF(A119="","",IF(M119=0,"",_xlfn.MINIFS(Quotes!$F$2:$F$301,Quotes!$B$2:$B$301,A119,Quotes!$G$2:$G$301,"Y")))</f>
        <v/>
      </c>
      <c r="O119" s="15" t="str">
        <f aca="false">IF(A119="","",AND(E119,G119="Y"))</f>
        <v/>
      </c>
      <c r="P119" s="17" t="str">
        <f aca="false">IF(A119="","",IF(AND(O119,N119&lt;&gt;""),N119,""))</f>
        <v/>
      </c>
      <c r="Q119" s="15" t="str">
        <f aca="false">IF(A119="","",COUNTIF(Picks!$A$2:$A$301,A119)&gt;0)</f>
        <v/>
      </c>
      <c r="R119" s="13"/>
      <c r="S119" s="13"/>
      <c r="T119" s="15" t="str">
        <f aca="false">IF(A119="","",COUNTIF(Nudges!$C$2:$C$301,A119)&gt;0)</f>
        <v/>
      </c>
      <c r="U119" s="8"/>
      <c r="V119" s="8"/>
    </row>
    <row r="120" customFormat="false" ht="15" hidden="false" customHeight="false" outlineLevel="0" collapsed="false">
      <c r="A120" s="13"/>
      <c r="B120" s="18"/>
      <c r="C120" s="15" t="str">
        <f aca="false">IF(B120="","",INT((B120-Settings!$B$2)/7)+1)</f>
        <v/>
      </c>
      <c r="D120" s="13"/>
      <c r="E120" s="15" t="str">
        <f aca="false">IF(A120="","",OR(D120=Settings!$B$3,AND(Settings!$B$4&lt;&gt;"",D120=Settings!$B$4)))</f>
        <v/>
      </c>
      <c r="F120" s="13"/>
      <c r="G120" s="13"/>
      <c r="H120" s="13"/>
      <c r="I120" s="13"/>
      <c r="J120" s="13"/>
      <c r="K120" s="18"/>
      <c r="L120" s="13"/>
      <c r="M120" s="15" t="str">
        <f aca="false">IF(A120="","",COUNTIFS(Quotes!$B$2:$B$301,A120,Quotes!$G$2:$G$301,"Y"))</f>
        <v/>
      </c>
      <c r="N120" s="17" t="str">
        <f aca="false">IF(A120="","",IF(M120=0,"",_xlfn.MINIFS(Quotes!$F$2:$F$301,Quotes!$B$2:$B$301,A120,Quotes!$G$2:$G$301,"Y")))</f>
        <v/>
      </c>
      <c r="O120" s="15" t="str">
        <f aca="false">IF(A120="","",AND(E120,G120="Y"))</f>
        <v/>
      </c>
      <c r="P120" s="17" t="str">
        <f aca="false">IF(A120="","",IF(AND(O120,N120&lt;&gt;""),N120,""))</f>
        <v/>
      </c>
      <c r="Q120" s="15" t="str">
        <f aca="false">IF(A120="","",COUNTIF(Picks!$A$2:$A$301,A120)&gt;0)</f>
        <v/>
      </c>
      <c r="R120" s="13"/>
      <c r="S120" s="13"/>
      <c r="T120" s="15" t="str">
        <f aca="false">IF(A120="","",COUNTIF(Nudges!$C$2:$C$301,A120)&gt;0)</f>
        <v/>
      </c>
      <c r="U120" s="8"/>
      <c r="V120" s="8"/>
    </row>
    <row r="121" customFormat="false" ht="15" hidden="false" customHeight="false" outlineLevel="0" collapsed="false">
      <c r="A121" s="13"/>
      <c r="B121" s="18"/>
      <c r="C121" s="15" t="str">
        <f aca="false">IF(B121="","",INT((B121-Settings!$B$2)/7)+1)</f>
        <v/>
      </c>
      <c r="D121" s="13"/>
      <c r="E121" s="15" t="str">
        <f aca="false">IF(A121="","",OR(D121=Settings!$B$3,AND(Settings!$B$4&lt;&gt;"",D121=Settings!$B$4)))</f>
        <v/>
      </c>
      <c r="F121" s="13"/>
      <c r="G121" s="13"/>
      <c r="H121" s="13"/>
      <c r="I121" s="13"/>
      <c r="J121" s="13"/>
      <c r="K121" s="18"/>
      <c r="L121" s="13"/>
      <c r="M121" s="15" t="str">
        <f aca="false">IF(A121="","",COUNTIFS(Quotes!$B$2:$B$301,A121,Quotes!$G$2:$G$301,"Y"))</f>
        <v/>
      </c>
      <c r="N121" s="17" t="str">
        <f aca="false">IF(A121="","",IF(M121=0,"",_xlfn.MINIFS(Quotes!$F$2:$F$301,Quotes!$B$2:$B$301,A121,Quotes!$G$2:$G$301,"Y")))</f>
        <v/>
      </c>
      <c r="O121" s="15" t="str">
        <f aca="false">IF(A121="","",AND(E121,G121="Y"))</f>
        <v/>
      </c>
      <c r="P121" s="17" t="str">
        <f aca="false">IF(A121="","",IF(AND(O121,N121&lt;&gt;""),N121,""))</f>
        <v/>
      </c>
      <c r="Q121" s="15" t="str">
        <f aca="false">IF(A121="","",COUNTIF(Picks!$A$2:$A$301,A121)&gt;0)</f>
        <v/>
      </c>
      <c r="R121" s="13"/>
      <c r="S121" s="13"/>
      <c r="T121" s="15" t="str">
        <f aca="false">IF(A121="","",COUNTIF(Nudges!$C$2:$C$301,A121)&gt;0)</f>
        <v/>
      </c>
      <c r="U121" s="8"/>
      <c r="V121" s="8"/>
    </row>
    <row r="122" customFormat="false" ht="15" hidden="false" customHeight="false" outlineLevel="0" collapsed="false">
      <c r="A122" s="13"/>
      <c r="B122" s="18"/>
      <c r="C122" s="15" t="str">
        <f aca="false">IF(B122="","",INT((B122-Settings!$B$2)/7)+1)</f>
        <v/>
      </c>
      <c r="D122" s="13"/>
      <c r="E122" s="15" t="str">
        <f aca="false">IF(A122="","",OR(D122=Settings!$B$3,AND(Settings!$B$4&lt;&gt;"",D122=Settings!$B$4)))</f>
        <v/>
      </c>
      <c r="F122" s="13"/>
      <c r="G122" s="13"/>
      <c r="H122" s="13"/>
      <c r="I122" s="13"/>
      <c r="J122" s="13"/>
      <c r="K122" s="18"/>
      <c r="L122" s="13"/>
      <c r="M122" s="15" t="str">
        <f aca="false">IF(A122="","",COUNTIFS(Quotes!$B$2:$B$301,A122,Quotes!$G$2:$G$301,"Y"))</f>
        <v/>
      </c>
      <c r="N122" s="17" t="str">
        <f aca="false">IF(A122="","",IF(M122=0,"",_xlfn.MINIFS(Quotes!$F$2:$F$301,Quotes!$B$2:$B$301,A122,Quotes!$G$2:$G$301,"Y")))</f>
        <v/>
      </c>
      <c r="O122" s="15" t="str">
        <f aca="false">IF(A122="","",AND(E122,G122="Y"))</f>
        <v/>
      </c>
      <c r="P122" s="17" t="str">
        <f aca="false">IF(A122="","",IF(AND(O122,N122&lt;&gt;""),N122,""))</f>
        <v/>
      </c>
      <c r="Q122" s="15" t="str">
        <f aca="false">IF(A122="","",COUNTIF(Picks!$A$2:$A$301,A122)&gt;0)</f>
        <v/>
      </c>
      <c r="R122" s="13"/>
      <c r="S122" s="13"/>
      <c r="T122" s="15" t="str">
        <f aca="false">IF(A122="","",COUNTIF(Nudges!$C$2:$C$301,A122)&gt;0)</f>
        <v/>
      </c>
      <c r="U122" s="8"/>
      <c r="V122" s="8"/>
    </row>
    <row r="123" customFormat="false" ht="15" hidden="false" customHeight="false" outlineLevel="0" collapsed="false">
      <c r="A123" s="13"/>
      <c r="B123" s="18"/>
      <c r="C123" s="15" t="str">
        <f aca="false">IF(B123="","",INT((B123-Settings!$B$2)/7)+1)</f>
        <v/>
      </c>
      <c r="D123" s="13"/>
      <c r="E123" s="15" t="str">
        <f aca="false">IF(A123="","",OR(D123=Settings!$B$3,AND(Settings!$B$4&lt;&gt;"",D123=Settings!$B$4)))</f>
        <v/>
      </c>
      <c r="F123" s="13"/>
      <c r="G123" s="13"/>
      <c r="H123" s="13"/>
      <c r="I123" s="13"/>
      <c r="J123" s="13"/>
      <c r="K123" s="18"/>
      <c r="L123" s="13"/>
      <c r="M123" s="15" t="str">
        <f aca="false">IF(A123="","",COUNTIFS(Quotes!$B$2:$B$301,A123,Quotes!$G$2:$G$301,"Y"))</f>
        <v/>
      </c>
      <c r="N123" s="17" t="str">
        <f aca="false">IF(A123="","",IF(M123=0,"",_xlfn.MINIFS(Quotes!$F$2:$F$301,Quotes!$B$2:$B$301,A123,Quotes!$G$2:$G$301,"Y")))</f>
        <v/>
      </c>
      <c r="O123" s="15" t="str">
        <f aca="false">IF(A123="","",AND(E123,G123="Y"))</f>
        <v/>
      </c>
      <c r="P123" s="17" t="str">
        <f aca="false">IF(A123="","",IF(AND(O123,N123&lt;&gt;""),N123,""))</f>
        <v/>
      </c>
      <c r="Q123" s="15" t="str">
        <f aca="false">IF(A123="","",COUNTIF(Picks!$A$2:$A$301,A123)&gt;0)</f>
        <v/>
      </c>
      <c r="R123" s="13"/>
      <c r="S123" s="13"/>
      <c r="T123" s="15" t="str">
        <f aca="false">IF(A123="","",COUNTIF(Nudges!$C$2:$C$301,A123)&gt;0)</f>
        <v/>
      </c>
      <c r="U123" s="8"/>
      <c r="V123" s="8"/>
    </row>
    <row r="124" customFormat="false" ht="15" hidden="false" customHeight="false" outlineLevel="0" collapsed="false">
      <c r="A124" s="13"/>
      <c r="B124" s="18"/>
      <c r="C124" s="15" t="str">
        <f aca="false">IF(B124="","",INT((B124-Settings!$B$2)/7)+1)</f>
        <v/>
      </c>
      <c r="D124" s="13"/>
      <c r="E124" s="15" t="str">
        <f aca="false">IF(A124="","",OR(D124=Settings!$B$3,AND(Settings!$B$4&lt;&gt;"",D124=Settings!$B$4)))</f>
        <v/>
      </c>
      <c r="F124" s="13"/>
      <c r="G124" s="13"/>
      <c r="H124" s="13"/>
      <c r="I124" s="13"/>
      <c r="J124" s="13"/>
      <c r="K124" s="18"/>
      <c r="L124" s="13"/>
      <c r="M124" s="15" t="str">
        <f aca="false">IF(A124="","",COUNTIFS(Quotes!$B$2:$B$301,A124,Quotes!$G$2:$G$301,"Y"))</f>
        <v/>
      </c>
      <c r="N124" s="17" t="str">
        <f aca="false">IF(A124="","",IF(M124=0,"",_xlfn.MINIFS(Quotes!$F$2:$F$301,Quotes!$B$2:$B$301,A124,Quotes!$G$2:$G$301,"Y")))</f>
        <v/>
      </c>
      <c r="O124" s="15" t="str">
        <f aca="false">IF(A124="","",AND(E124,G124="Y"))</f>
        <v/>
      </c>
      <c r="P124" s="17" t="str">
        <f aca="false">IF(A124="","",IF(AND(O124,N124&lt;&gt;""),N124,""))</f>
        <v/>
      </c>
      <c r="Q124" s="15" t="str">
        <f aca="false">IF(A124="","",COUNTIF(Picks!$A$2:$A$301,A124)&gt;0)</f>
        <v/>
      </c>
      <c r="R124" s="13"/>
      <c r="S124" s="13"/>
      <c r="T124" s="15" t="str">
        <f aca="false">IF(A124="","",COUNTIF(Nudges!$C$2:$C$301,A124)&gt;0)</f>
        <v/>
      </c>
      <c r="U124" s="8"/>
      <c r="V124" s="8"/>
    </row>
    <row r="125" customFormat="false" ht="15" hidden="false" customHeight="false" outlineLevel="0" collapsed="false">
      <c r="A125" s="13"/>
      <c r="B125" s="18"/>
      <c r="C125" s="15" t="str">
        <f aca="false">IF(B125="","",INT((B125-Settings!$B$2)/7)+1)</f>
        <v/>
      </c>
      <c r="D125" s="13"/>
      <c r="E125" s="15" t="str">
        <f aca="false">IF(A125="","",OR(D125=Settings!$B$3,AND(Settings!$B$4&lt;&gt;"",D125=Settings!$B$4)))</f>
        <v/>
      </c>
      <c r="F125" s="13"/>
      <c r="G125" s="13"/>
      <c r="H125" s="13"/>
      <c r="I125" s="13"/>
      <c r="J125" s="13"/>
      <c r="K125" s="18"/>
      <c r="L125" s="13"/>
      <c r="M125" s="15" t="str">
        <f aca="false">IF(A125="","",COUNTIFS(Quotes!$B$2:$B$301,A125,Quotes!$G$2:$G$301,"Y"))</f>
        <v/>
      </c>
      <c r="N125" s="17" t="str">
        <f aca="false">IF(A125="","",IF(M125=0,"",_xlfn.MINIFS(Quotes!$F$2:$F$301,Quotes!$B$2:$B$301,A125,Quotes!$G$2:$G$301,"Y")))</f>
        <v/>
      </c>
      <c r="O125" s="15" t="str">
        <f aca="false">IF(A125="","",AND(E125,G125="Y"))</f>
        <v/>
      </c>
      <c r="P125" s="17" t="str">
        <f aca="false">IF(A125="","",IF(AND(O125,N125&lt;&gt;""),N125,""))</f>
        <v/>
      </c>
      <c r="Q125" s="15" t="str">
        <f aca="false">IF(A125="","",COUNTIF(Picks!$A$2:$A$301,A125)&gt;0)</f>
        <v/>
      </c>
      <c r="R125" s="13"/>
      <c r="S125" s="13"/>
      <c r="T125" s="15" t="str">
        <f aca="false">IF(A125="","",COUNTIF(Nudges!$C$2:$C$301,A125)&gt;0)</f>
        <v/>
      </c>
      <c r="U125" s="8"/>
      <c r="V125" s="8"/>
    </row>
    <row r="126" customFormat="false" ht="15" hidden="false" customHeight="false" outlineLevel="0" collapsed="false">
      <c r="A126" s="13"/>
      <c r="B126" s="18"/>
      <c r="C126" s="15" t="str">
        <f aca="false">IF(B126="","",INT((B126-Settings!$B$2)/7)+1)</f>
        <v/>
      </c>
      <c r="D126" s="13"/>
      <c r="E126" s="15" t="str">
        <f aca="false">IF(A126="","",OR(D126=Settings!$B$3,AND(Settings!$B$4&lt;&gt;"",D126=Settings!$B$4)))</f>
        <v/>
      </c>
      <c r="F126" s="13"/>
      <c r="G126" s="13"/>
      <c r="H126" s="13"/>
      <c r="I126" s="13"/>
      <c r="J126" s="13"/>
      <c r="K126" s="18"/>
      <c r="L126" s="13"/>
      <c r="M126" s="15" t="str">
        <f aca="false">IF(A126="","",COUNTIFS(Quotes!$B$2:$B$301,A126,Quotes!$G$2:$G$301,"Y"))</f>
        <v/>
      </c>
      <c r="N126" s="17" t="str">
        <f aca="false">IF(A126="","",IF(M126=0,"",_xlfn.MINIFS(Quotes!$F$2:$F$301,Quotes!$B$2:$B$301,A126,Quotes!$G$2:$G$301,"Y")))</f>
        <v/>
      </c>
      <c r="O126" s="15" t="str">
        <f aca="false">IF(A126="","",AND(E126,G126="Y"))</f>
        <v/>
      </c>
      <c r="P126" s="17" t="str">
        <f aca="false">IF(A126="","",IF(AND(O126,N126&lt;&gt;""),N126,""))</f>
        <v/>
      </c>
      <c r="Q126" s="15" t="str">
        <f aca="false">IF(A126="","",COUNTIF(Picks!$A$2:$A$301,A126)&gt;0)</f>
        <v/>
      </c>
      <c r="R126" s="13"/>
      <c r="S126" s="13"/>
      <c r="T126" s="15" t="str">
        <f aca="false">IF(A126="","",COUNTIF(Nudges!$C$2:$C$301,A126)&gt;0)</f>
        <v/>
      </c>
      <c r="U126" s="8"/>
      <c r="V126" s="8"/>
    </row>
    <row r="127" customFormat="false" ht="15" hidden="false" customHeight="false" outlineLevel="0" collapsed="false">
      <c r="A127" s="13"/>
      <c r="B127" s="18"/>
      <c r="C127" s="15" t="str">
        <f aca="false">IF(B127="","",INT((B127-Settings!$B$2)/7)+1)</f>
        <v/>
      </c>
      <c r="D127" s="13"/>
      <c r="E127" s="15" t="str">
        <f aca="false">IF(A127="","",OR(D127=Settings!$B$3,AND(Settings!$B$4&lt;&gt;"",D127=Settings!$B$4)))</f>
        <v/>
      </c>
      <c r="F127" s="13"/>
      <c r="G127" s="13"/>
      <c r="H127" s="13"/>
      <c r="I127" s="13"/>
      <c r="J127" s="13"/>
      <c r="K127" s="18"/>
      <c r="L127" s="13"/>
      <c r="M127" s="15" t="str">
        <f aca="false">IF(A127="","",COUNTIFS(Quotes!$B$2:$B$301,A127,Quotes!$G$2:$G$301,"Y"))</f>
        <v/>
      </c>
      <c r="N127" s="17" t="str">
        <f aca="false">IF(A127="","",IF(M127=0,"",_xlfn.MINIFS(Quotes!$F$2:$F$301,Quotes!$B$2:$B$301,A127,Quotes!$G$2:$G$301,"Y")))</f>
        <v/>
      </c>
      <c r="O127" s="15" t="str">
        <f aca="false">IF(A127="","",AND(E127,G127="Y"))</f>
        <v/>
      </c>
      <c r="P127" s="17" t="str">
        <f aca="false">IF(A127="","",IF(AND(O127,N127&lt;&gt;""),N127,""))</f>
        <v/>
      </c>
      <c r="Q127" s="15" t="str">
        <f aca="false">IF(A127="","",COUNTIF(Picks!$A$2:$A$301,A127)&gt;0)</f>
        <v/>
      </c>
      <c r="R127" s="13"/>
      <c r="S127" s="13"/>
      <c r="T127" s="15" t="str">
        <f aca="false">IF(A127="","",COUNTIF(Nudges!$C$2:$C$301,A127)&gt;0)</f>
        <v/>
      </c>
      <c r="U127" s="8"/>
      <c r="V127" s="8"/>
    </row>
    <row r="128" customFormat="false" ht="15" hidden="false" customHeight="false" outlineLevel="0" collapsed="false">
      <c r="A128" s="13"/>
      <c r="B128" s="18"/>
      <c r="C128" s="15" t="str">
        <f aca="false">IF(B128="","",INT((B128-Settings!$B$2)/7)+1)</f>
        <v/>
      </c>
      <c r="D128" s="13"/>
      <c r="E128" s="15" t="str">
        <f aca="false">IF(A128="","",OR(D128=Settings!$B$3,AND(Settings!$B$4&lt;&gt;"",D128=Settings!$B$4)))</f>
        <v/>
      </c>
      <c r="F128" s="13"/>
      <c r="G128" s="13"/>
      <c r="H128" s="13"/>
      <c r="I128" s="13"/>
      <c r="J128" s="13"/>
      <c r="K128" s="18"/>
      <c r="L128" s="13"/>
      <c r="M128" s="15" t="str">
        <f aca="false">IF(A128="","",COUNTIFS(Quotes!$B$2:$B$301,A128,Quotes!$G$2:$G$301,"Y"))</f>
        <v/>
      </c>
      <c r="N128" s="17" t="str">
        <f aca="false">IF(A128="","",IF(M128=0,"",_xlfn.MINIFS(Quotes!$F$2:$F$301,Quotes!$B$2:$B$301,A128,Quotes!$G$2:$G$301,"Y")))</f>
        <v/>
      </c>
      <c r="O128" s="15" t="str">
        <f aca="false">IF(A128="","",AND(E128,G128="Y"))</f>
        <v/>
      </c>
      <c r="P128" s="17" t="str">
        <f aca="false">IF(A128="","",IF(AND(O128,N128&lt;&gt;""),N128,""))</f>
        <v/>
      </c>
      <c r="Q128" s="15" t="str">
        <f aca="false">IF(A128="","",COUNTIF(Picks!$A$2:$A$301,A128)&gt;0)</f>
        <v/>
      </c>
      <c r="R128" s="13"/>
      <c r="S128" s="13"/>
      <c r="T128" s="15" t="str">
        <f aca="false">IF(A128="","",COUNTIF(Nudges!$C$2:$C$301,A128)&gt;0)</f>
        <v/>
      </c>
      <c r="U128" s="8"/>
      <c r="V128" s="8"/>
    </row>
    <row r="129" customFormat="false" ht="15" hidden="false" customHeight="false" outlineLevel="0" collapsed="false">
      <c r="A129" s="13"/>
      <c r="B129" s="18"/>
      <c r="C129" s="15" t="str">
        <f aca="false">IF(B129="","",INT((B129-Settings!$B$2)/7)+1)</f>
        <v/>
      </c>
      <c r="D129" s="13"/>
      <c r="E129" s="15" t="str">
        <f aca="false">IF(A129="","",OR(D129=Settings!$B$3,AND(Settings!$B$4&lt;&gt;"",D129=Settings!$B$4)))</f>
        <v/>
      </c>
      <c r="F129" s="13"/>
      <c r="G129" s="13"/>
      <c r="H129" s="13"/>
      <c r="I129" s="13"/>
      <c r="J129" s="13"/>
      <c r="K129" s="18"/>
      <c r="L129" s="13"/>
      <c r="M129" s="15" t="str">
        <f aca="false">IF(A129="","",COUNTIFS(Quotes!$B$2:$B$301,A129,Quotes!$G$2:$G$301,"Y"))</f>
        <v/>
      </c>
      <c r="N129" s="17" t="str">
        <f aca="false">IF(A129="","",IF(M129=0,"",_xlfn.MINIFS(Quotes!$F$2:$F$301,Quotes!$B$2:$B$301,A129,Quotes!$G$2:$G$301,"Y")))</f>
        <v/>
      </c>
      <c r="O129" s="15" t="str">
        <f aca="false">IF(A129="","",AND(E129,G129="Y"))</f>
        <v/>
      </c>
      <c r="P129" s="17" t="str">
        <f aca="false">IF(A129="","",IF(AND(O129,N129&lt;&gt;""),N129,""))</f>
        <v/>
      </c>
      <c r="Q129" s="15" t="str">
        <f aca="false">IF(A129="","",COUNTIF(Picks!$A$2:$A$301,A129)&gt;0)</f>
        <v/>
      </c>
      <c r="R129" s="13"/>
      <c r="S129" s="13"/>
      <c r="T129" s="15" t="str">
        <f aca="false">IF(A129="","",COUNTIF(Nudges!$C$2:$C$301,A129)&gt;0)</f>
        <v/>
      </c>
      <c r="U129" s="8"/>
      <c r="V129" s="8"/>
    </row>
    <row r="130" customFormat="false" ht="15" hidden="false" customHeight="false" outlineLevel="0" collapsed="false">
      <c r="A130" s="13"/>
      <c r="B130" s="18"/>
      <c r="C130" s="15" t="str">
        <f aca="false">IF(B130="","",INT((B130-Settings!$B$2)/7)+1)</f>
        <v/>
      </c>
      <c r="D130" s="13"/>
      <c r="E130" s="15" t="str">
        <f aca="false">IF(A130="","",OR(D130=Settings!$B$3,AND(Settings!$B$4&lt;&gt;"",D130=Settings!$B$4)))</f>
        <v/>
      </c>
      <c r="F130" s="13"/>
      <c r="G130" s="13"/>
      <c r="H130" s="13"/>
      <c r="I130" s="13"/>
      <c r="J130" s="13"/>
      <c r="K130" s="18"/>
      <c r="L130" s="13"/>
      <c r="M130" s="15" t="str">
        <f aca="false">IF(A130="","",COUNTIFS(Quotes!$B$2:$B$301,A130,Quotes!$G$2:$G$301,"Y"))</f>
        <v/>
      </c>
      <c r="N130" s="17" t="str">
        <f aca="false">IF(A130="","",IF(M130=0,"",_xlfn.MINIFS(Quotes!$F$2:$F$301,Quotes!$B$2:$B$301,A130,Quotes!$G$2:$G$301,"Y")))</f>
        <v/>
      </c>
      <c r="O130" s="15" t="str">
        <f aca="false">IF(A130="","",AND(E130,G130="Y"))</f>
        <v/>
      </c>
      <c r="P130" s="17" t="str">
        <f aca="false">IF(A130="","",IF(AND(O130,N130&lt;&gt;""),N130,""))</f>
        <v/>
      </c>
      <c r="Q130" s="15" t="str">
        <f aca="false">IF(A130="","",COUNTIF(Picks!$A$2:$A$301,A130)&gt;0)</f>
        <v/>
      </c>
      <c r="R130" s="13"/>
      <c r="S130" s="13"/>
      <c r="T130" s="15" t="str">
        <f aca="false">IF(A130="","",COUNTIF(Nudges!$C$2:$C$301,A130)&gt;0)</f>
        <v/>
      </c>
      <c r="U130" s="8"/>
      <c r="V130" s="8"/>
    </row>
    <row r="131" customFormat="false" ht="15" hidden="false" customHeight="false" outlineLevel="0" collapsed="false">
      <c r="A131" s="13"/>
      <c r="B131" s="18"/>
      <c r="C131" s="15" t="str">
        <f aca="false">IF(B131="","",INT((B131-Settings!$B$2)/7)+1)</f>
        <v/>
      </c>
      <c r="D131" s="13"/>
      <c r="E131" s="15" t="str">
        <f aca="false">IF(A131="","",OR(D131=Settings!$B$3,AND(Settings!$B$4&lt;&gt;"",D131=Settings!$B$4)))</f>
        <v/>
      </c>
      <c r="F131" s="13"/>
      <c r="G131" s="13"/>
      <c r="H131" s="13"/>
      <c r="I131" s="13"/>
      <c r="J131" s="13"/>
      <c r="K131" s="18"/>
      <c r="L131" s="13"/>
      <c r="M131" s="15" t="str">
        <f aca="false">IF(A131="","",COUNTIFS(Quotes!$B$2:$B$301,A131,Quotes!$G$2:$G$301,"Y"))</f>
        <v/>
      </c>
      <c r="N131" s="17" t="str">
        <f aca="false">IF(A131="","",IF(M131=0,"",_xlfn.MINIFS(Quotes!$F$2:$F$301,Quotes!$B$2:$B$301,A131,Quotes!$G$2:$G$301,"Y")))</f>
        <v/>
      </c>
      <c r="O131" s="15" t="str">
        <f aca="false">IF(A131="","",AND(E131,G131="Y"))</f>
        <v/>
      </c>
      <c r="P131" s="17" t="str">
        <f aca="false">IF(A131="","",IF(AND(O131,N131&lt;&gt;""),N131,""))</f>
        <v/>
      </c>
      <c r="Q131" s="15" t="str">
        <f aca="false">IF(A131="","",COUNTIF(Picks!$A$2:$A$301,A131)&gt;0)</f>
        <v/>
      </c>
      <c r="R131" s="13"/>
      <c r="S131" s="13"/>
      <c r="T131" s="15" t="str">
        <f aca="false">IF(A131="","",COUNTIF(Nudges!$C$2:$C$301,A131)&gt;0)</f>
        <v/>
      </c>
      <c r="U131" s="8"/>
      <c r="V131" s="8"/>
    </row>
    <row r="132" customFormat="false" ht="15" hidden="false" customHeight="false" outlineLevel="0" collapsed="false">
      <c r="A132" s="13"/>
      <c r="B132" s="18"/>
      <c r="C132" s="15" t="str">
        <f aca="false">IF(B132="","",INT((B132-Settings!$B$2)/7)+1)</f>
        <v/>
      </c>
      <c r="D132" s="13"/>
      <c r="E132" s="15" t="str">
        <f aca="false">IF(A132="","",OR(D132=Settings!$B$3,AND(Settings!$B$4&lt;&gt;"",D132=Settings!$B$4)))</f>
        <v/>
      </c>
      <c r="F132" s="13"/>
      <c r="G132" s="13"/>
      <c r="H132" s="13"/>
      <c r="I132" s="13"/>
      <c r="J132" s="13"/>
      <c r="K132" s="18"/>
      <c r="L132" s="13"/>
      <c r="M132" s="15" t="str">
        <f aca="false">IF(A132="","",COUNTIFS(Quotes!$B$2:$B$301,A132,Quotes!$G$2:$G$301,"Y"))</f>
        <v/>
      </c>
      <c r="N132" s="17" t="str">
        <f aca="false">IF(A132="","",IF(M132=0,"",_xlfn.MINIFS(Quotes!$F$2:$F$301,Quotes!$B$2:$B$301,A132,Quotes!$G$2:$G$301,"Y")))</f>
        <v/>
      </c>
      <c r="O132" s="15" t="str">
        <f aca="false">IF(A132="","",AND(E132,G132="Y"))</f>
        <v/>
      </c>
      <c r="P132" s="17" t="str">
        <f aca="false">IF(A132="","",IF(AND(O132,N132&lt;&gt;""),N132,""))</f>
        <v/>
      </c>
      <c r="Q132" s="15" t="str">
        <f aca="false">IF(A132="","",COUNTIF(Picks!$A$2:$A$301,A132)&gt;0)</f>
        <v/>
      </c>
      <c r="R132" s="13"/>
      <c r="S132" s="13"/>
      <c r="T132" s="15" t="str">
        <f aca="false">IF(A132="","",COUNTIF(Nudges!$C$2:$C$301,A132)&gt;0)</f>
        <v/>
      </c>
      <c r="U132" s="8"/>
      <c r="V132" s="8"/>
    </row>
    <row r="133" customFormat="false" ht="15" hidden="false" customHeight="false" outlineLevel="0" collapsed="false">
      <c r="A133" s="13"/>
      <c r="B133" s="18"/>
      <c r="C133" s="15" t="str">
        <f aca="false">IF(B133="","",INT((B133-Settings!$B$2)/7)+1)</f>
        <v/>
      </c>
      <c r="D133" s="13"/>
      <c r="E133" s="15" t="str">
        <f aca="false">IF(A133="","",OR(D133=Settings!$B$3,AND(Settings!$B$4&lt;&gt;"",D133=Settings!$B$4)))</f>
        <v/>
      </c>
      <c r="F133" s="13"/>
      <c r="G133" s="13"/>
      <c r="H133" s="13"/>
      <c r="I133" s="13"/>
      <c r="J133" s="13"/>
      <c r="K133" s="18"/>
      <c r="L133" s="13"/>
      <c r="M133" s="15" t="str">
        <f aca="false">IF(A133="","",COUNTIFS(Quotes!$B$2:$B$301,A133,Quotes!$G$2:$G$301,"Y"))</f>
        <v/>
      </c>
      <c r="N133" s="17" t="str">
        <f aca="false">IF(A133="","",IF(M133=0,"",_xlfn.MINIFS(Quotes!$F$2:$F$301,Quotes!$B$2:$B$301,A133,Quotes!$G$2:$G$301,"Y")))</f>
        <v/>
      </c>
      <c r="O133" s="15" t="str">
        <f aca="false">IF(A133="","",AND(E133,G133="Y"))</f>
        <v/>
      </c>
      <c r="P133" s="17" t="str">
        <f aca="false">IF(A133="","",IF(AND(O133,N133&lt;&gt;""),N133,""))</f>
        <v/>
      </c>
      <c r="Q133" s="15" t="str">
        <f aca="false">IF(A133="","",COUNTIF(Picks!$A$2:$A$301,A133)&gt;0)</f>
        <v/>
      </c>
      <c r="R133" s="13"/>
      <c r="S133" s="13"/>
      <c r="T133" s="15" t="str">
        <f aca="false">IF(A133="","",COUNTIF(Nudges!$C$2:$C$301,A133)&gt;0)</f>
        <v/>
      </c>
      <c r="U133" s="8"/>
      <c r="V133" s="8"/>
    </row>
    <row r="134" customFormat="false" ht="15" hidden="false" customHeight="false" outlineLevel="0" collapsed="false">
      <c r="A134" s="13"/>
      <c r="B134" s="18"/>
      <c r="C134" s="15" t="str">
        <f aca="false">IF(B134="","",INT((B134-Settings!$B$2)/7)+1)</f>
        <v/>
      </c>
      <c r="D134" s="13"/>
      <c r="E134" s="15" t="str">
        <f aca="false">IF(A134="","",OR(D134=Settings!$B$3,AND(Settings!$B$4&lt;&gt;"",D134=Settings!$B$4)))</f>
        <v/>
      </c>
      <c r="F134" s="13"/>
      <c r="G134" s="13"/>
      <c r="H134" s="13"/>
      <c r="I134" s="13"/>
      <c r="J134" s="13"/>
      <c r="K134" s="18"/>
      <c r="L134" s="13"/>
      <c r="M134" s="15" t="str">
        <f aca="false">IF(A134="","",COUNTIFS(Quotes!$B$2:$B$301,A134,Quotes!$G$2:$G$301,"Y"))</f>
        <v/>
      </c>
      <c r="N134" s="17" t="str">
        <f aca="false">IF(A134="","",IF(M134=0,"",_xlfn.MINIFS(Quotes!$F$2:$F$301,Quotes!$B$2:$B$301,A134,Quotes!$G$2:$G$301,"Y")))</f>
        <v/>
      </c>
      <c r="O134" s="15" t="str">
        <f aca="false">IF(A134="","",AND(E134,G134="Y"))</f>
        <v/>
      </c>
      <c r="P134" s="17" t="str">
        <f aca="false">IF(A134="","",IF(AND(O134,N134&lt;&gt;""),N134,""))</f>
        <v/>
      </c>
      <c r="Q134" s="15" t="str">
        <f aca="false">IF(A134="","",COUNTIF(Picks!$A$2:$A$301,A134)&gt;0)</f>
        <v/>
      </c>
      <c r="R134" s="13"/>
      <c r="S134" s="13"/>
      <c r="T134" s="15" t="str">
        <f aca="false">IF(A134="","",COUNTIF(Nudges!$C$2:$C$301,A134)&gt;0)</f>
        <v/>
      </c>
      <c r="U134" s="8"/>
      <c r="V134" s="8"/>
    </row>
    <row r="135" customFormat="false" ht="15" hidden="false" customHeight="false" outlineLevel="0" collapsed="false">
      <c r="A135" s="13"/>
      <c r="B135" s="18"/>
      <c r="C135" s="15" t="str">
        <f aca="false">IF(B135="","",INT((B135-Settings!$B$2)/7)+1)</f>
        <v/>
      </c>
      <c r="D135" s="13"/>
      <c r="E135" s="15" t="str">
        <f aca="false">IF(A135="","",OR(D135=Settings!$B$3,AND(Settings!$B$4&lt;&gt;"",D135=Settings!$B$4)))</f>
        <v/>
      </c>
      <c r="F135" s="13"/>
      <c r="G135" s="13"/>
      <c r="H135" s="13"/>
      <c r="I135" s="13"/>
      <c r="J135" s="13"/>
      <c r="K135" s="18"/>
      <c r="L135" s="13"/>
      <c r="M135" s="15" t="str">
        <f aca="false">IF(A135="","",COUNTIFS(Quotes!$B$2:$B$301,A135,Quotes!$G$2:$G$301,"Y"))</f>
        <v/>
      </c>
      <c r="N135" s="17" t="str">
        <f aca="false">IF(A135="","",IF(M135=0,"",_xlfn.MINIFS(Quotes!$F$2:$F$301,Quotes!$B$2:$B$301,A135,Quotes!$G$2:$G$301,"Y")))</f>
        <v/>
      </c>
      <c r="O135" s="15" t="str">
        <f aca="false">IF(A135="","",AND(E135,G135="Y"))</f>
        <v/>
      </c>
      <c r="P135" s="17" t="str">
        <f aca="false">IF(A135="","",IF(AND(O135,N135&lt;&gt;""),N135,""))</f>
        <v/>
      </c>
      <c r="Q135" s="15" t="str">
        <f aca="false">IF(A135="","",COUNTIF(Picks!$A$2:$A$301,A135)&gt;0)</f>
        <v/>
      </c>
      <c r="R135" s="13"/>
      <c r="S135" s="13"/>
      <c r="T135" s="15" t="str">
        <f aca="false">IF(A135="","",COUNTIF(Nudges!$C$2:$C$301,A135)&gt;0)</f>
        <v/>
      </c>
      <c r="U135" s="8"/>
      <c r="V135" s="8"/>
    </row>
    <row r="136" customFormat="false" ht="15" hidden="false" customHeight="false" outlineLevel="0" collapsed="false">
      <c r="A136" s="13"/>
      <c r="B136" s="18"/>
      <c r="C136" s="15" t="str">
        <f aca="false">IF(B136="","",INT((B136-Settings!$B$2)/7)+1)</f>
        <v/>
      </c>
      <c r="D136" s="13"/>
      <c r="E136" s="15" t="str">
        <f aca="false">IF(A136="","",OR(D136=Settings!$B$3,AND(Settings!$B$4&lt;&gt;"",D136=Settings!$B$4)))</f>
        <v/>
      </c>
      <c r="F136" s="13"/>
      <c r="G136" s="13"/>
      <c r="H136" s="13"/>
      <c r="I136" s="13"/>
      <c r="J136" s="13"/>
      <c r="K136" s="18"/>
      <c r="L136" s="13"/>
      <c r="M136" s="15" t="str">
        <f aca="false">IF(A136="","",COUNTIFS(Quotes!$B$2:$B$301,A136,Quotes!$G$2:$G$301,"Y"))</f>
        <v/>
      </c>
      <c r="N136" s="17" t="str">
        <f aca="false">IF(A136="","",IF(M136=0,"",_xlfn.MINIFS(Quotes!$F$2:$F$301,Quotes!$B$2:$B$301,A136,Quotes!$G$2:$G$301,"Y")))</f>
        <v/>
      </c>
      <c r="O136" s="15" t="str">
        <f aca="false">IF(A136="","",AND(E136,G136="Y"))</f>
        <v/>
      </c>
      <c r="P136" s="17" t="str">
        <f aca="false">IF(A136="","",IF(AND(O136,N136&lt;&gt;""),N136,""))</f>
        <v/>
      </c>
      <c r="Q136" s="15" t="str">
        <f aca="false">IF(A136="","",COUNTIF(Picks!$A$2:$A$301,A136)&gt;0)</f>
        <v/>
      </c>
      <c r="R136" s="13"/>
      <c r="S136" s="13"/>
      <c r="T136" s="15" t="str">
        <f aca="false">IF(A136="","",COUNTIF(Nudges!$C$2:$C$301,A136)&gt;0)</f>
        <v/>
      </c>
      <c r="U136" s="8"/>
      <c r="V136" s="8"/>
    </row>
    <row r="137" customFormat="false" ht="15" hidden="false" customHeight="false" outlineLevel="0" collapsed="false">
      <c r="A137" s="13"/>
      <c r="B137" s="18"/>
      <c r="C137" s="15" t="str">
        <f aca="false">IF(B137="","",INT((B137-Settings!$B$2)/7)+1)</f>
        <v/>
      </c>
      <c r="D137" s="13"/>
      <c r="E137" s="15" t="str">
        <f aca="false">IF(A137="","",OR(D137=Settings!$B$3,AND(Settings!$B$4&lt;&gt;"",D137=Settings!$B$4)))</f>
        <v/>
      </c>
      <c r="F137" s="13"/>
      <c r="G137" s="13"/>
      <c r="H137" s="13"/>
      <c r="I137" s="13"/>
      <c r="J137" s="13"/>
      <c r="K137" s="18"/>
      <c r="L137" s="13"/>
      <c r="M137" s="15" t="str">
        <f aca="false">IF(A137="","",COUNTIFS(Quotes!$B$2:$B$301,A137,Quotes!$G$2:$G$301,"Y"))</f>
        <v/>
      </c>
      <c r="N137" s="17" t="str">
        <f aca="false">IF(A137="","",IF(M137=0,"",_xlfn.MINIFS(Quotes!$F$2:$F$301,Quotes!$B$2:$B$301,A137,Quotes!$G$2:$G$301,"Y")))</f>
        <v/>
      </c>
      <c r="O137" s="15" t="str">
        <f aca="false">IF(A137="","",AND(E137,G137="Y"))</f>
        <v/>
      </c>
      <c r="P137" s="17" t="str">
        <f aca="false">IF(A137="","",IF(AND(O137,N137&lt;&gt;""),N137,""))</f>
        <v/>
      </c>
      <c r="Q137" s="15" t="str">
        <f aca="false">IF(A137="","",COUNTIF(Picks!$A$2:$A$301,A137)&gt;0)</f>
        <v/>
      </c>
      <c r="R137" s="13"/>
      <c r="S137" s="13"/>
      <c r="T137" s="15" t="str">
        <f aca="false">IF(A137="","",COUNTIF(Nudges!$C$2:$C$301,A137)&gt;0)</f>
        <v/>
      </c>
      <c r="U137" s="8"/>
      <c r="V137" s="8"/>
    </row>
    <row r="138" customFormat="false" ht="15" hidden="false" customHeight="false" outlineLevel="0" collapsed="false">
      <c r="A138" s="13"/>
      <c r="B138" s="18"/>
      <c r="C138" s="15" t="str">
        <f aca="false">IF(B138="","",INT((B138-Settings!$B$2)/7)+1)</f>
        <v/>
      </c>
      <c r="D138" s="13"/>
      <c r="E138" s="15" t="str">
        <f aca="false">IF(A138="","",OR(D138=Settings!$B$3,AND(Settings!$B$4&lt;&gt;"",D138=Settings!$B$4)))</f>
        <v/>
      </c>
      <c r="F138" s="13"/>
      <c r="G138" s="13"/>
      <c r="H138" s="13"/>
      <c r="I138" s="13"/>
      <c r="J138" s="13"/>
      <c r="K138" s="18"/>
      <c r="L138" s="13"/>
      <c r="M138" s="15" t="str">
        <f aca="false">IF(A138="","",COUNTIFS(Quotes!$B$2:$B$301,A138,Quotes!$G$2:$G$301,"Y"))</f>
        <v/>
      </c>
      <c r="N138" s="17" t="str">
        <f aca="false">IF(A138="","",IF(M138=0,"",_xlfn.MINIFS(Quotes!$F$2:$F$301,Quotes!$B$2:$B$301,A138,Quotes!$G$2:$G$301,"Y")))</f>
        <v/>
      </c>
      <c r="O138" s="15" t="str">
        <f aca="false">IF(A138="","",AND(E138,G138="Y"))</f>
        <v/>
      </c>
      <c r="P138" s="17" t="str">
        <f aca="false">IF(A138="","",IF(AND(O138,N138&lt;&gt;""),N138,""))</f>
        <v/>
      </c>
      <c r="Q138" s="15" t="str">
        <f aca="false">IF(A138="","",COUNTIF(Picks!$A$2:$A$301,A138)&gt;0)</f>
        <v/>
      </c>
      <c r="R138" s="13"/>
      <c r="S138" s="13"/>
      <c r="T138" s="15" t="str">
        <f aca="false">IF(A138="","",COUNTIF(Nudges!$C$2:$C$301,A138)&gt;0)</f>
        <v/>
      </c>
      <c r="U138" s="8"/>
      <c r="V138" s="8"/>
    </row>
    <row r="139" customFormat="false" ht="15" hidden="false" customHeight="false" outlineLevel="0" collapsed="false">
      <c r="A139" s="13"/>
      <c r="B139" s="18"/>
      <c r="C139" s="15" t="str">
        <f aca="false">IF(B139="","",INT((B139-Settings!$B$2)/7)+1)</f>
        <v/>
      </c>
      <c r="D139" s="13"/>
      <c r="E139" s="15" t="str">
        <f aca="false">IF(A139="","",OR(D139=Settings!$B$3,AND(Settings!$B$4&lt;&gt;"",D139=Settings!$B$4)))</f>
        <v/>
      </c>
      <c r="F139" s="13"/>
      <c r="G139" s="13"/>
      <c r="H139" s="13"/>
      <c r="I139" s="13"/>
      <c r="J139" s="13"/>
      <c r="K139" s="18"/>
      <c r="L139" s="13"/>
      <c r="M139" s="15" t="str">
        <f aca="false">IF(A139="","",COUNTIFS(Quotes!$B$2:$B$301,A139,Quotes!$G$2:$G$301,"Y"))</f>
        <v/>
      </c>
      <c r="N139" s="17" t="str">
        <f aca="false">IF(A139="","",IF(M139=0,"",_xlfn.MINIFS(Quotes!$F$2:$F$301,Quotes!$B$2:$B$301,A139,Quotes!$G$2:$G$301,"Y")))</f>
        <v/>
      </c>
      <c r="O139" s="15" t="str">
        <f aca="false">IF(A139="","",AND(E139,G139="Y"))</f>
        <v/>
      </c>
      <c r="P139" s="17" t="str">
        <f aca="false">IF(A139="","",IF(AND(O139,N139&lt;&gt;""),N139,""))</f>
        <v/>
      </c>
      <c r="Q139" s="15" t="str">
        <f aca="false">IF(A139="","",COUNTIF(Picks!$A$2:$A$301,A139)&gt;0)</f>
        <v/>
      </c>
      <c r="R139" s="13"/>
      <c r="S139" s="13"/>
      <c r="T139" s="15" t="str">
        <f aca="false">IF(A139="","",COUNTIF(Nudges!$C$2:$C$301,A139)&gt;0)</f>
        <v/>
      </c>
      <c r="U139" s="8"/>
      <c r="V139" s="8"/>
    </row>
    <row r="140" customFormat="false" ht="15" hidden="false" customHeight="false" outlineLevel="0" collapsed="false">
      <c r="A140" s="13"/>
      <c r="B140" s="18"/>
      <c r="C140" s="15" t="str">
        <f aca="false">IF(B140="","",INT((B140-Settings!$B$2)/7)+1)</f>
        <v/>
      </c>
      <c r="D140" s="13"/>
      <c r="E140" s="15" t="str">
        <f aca="false">IF(A140="","",OR(D140=Settings!$B$3,AND(Settings!$B$4&lt;&gt;"",D140=Settings!$B$4)))</f>
        <v/>
      </c>
      <c r="F140" s="13"/>
      <c r="G140" s="13"/>
      <c r="H140" s="13"/>
      <c r="I140" s="13"/>
      <c r="J140" s="13"/>
      <c r="K140" s="18"/>
      <c r="L140" s="13"/>
      <c r="M140" s="15" t="str">
        <f aca="false">IF(A140="","",COUNTIFS(Quotes!$B$2:$B$301,A140,Quotes!$G$2:$G$301,"Y"))</f>
        <v/>
      </c>
      <c r="N140" s="17" t="str">
        <f aca="false">IF(A140="","",IF(M140=0,"",_xlfn.MINIFS(Quotes!$F$2:$F$301,Quotes!$B$2:$B$301,A140,Quotes!$G$2:$G$301,"Y")))</f>
        <v/>
      </c>
      <c r="O140" s="15" t="str">
        <f aca="false">IF(A140="","",AND(E140,G140="Y"))</f>
        <v/>
      </c>
      <c r="P140" s="17" t="str">
        <f aca="false">IF(A140="","",IF(AND(O140,N140&lt;&gt;""),N140,""))</f>
        <v/>
      </c>
      <c r="Q140" s="15" t="str">
        <f aca="false">IF(A140="","",COUNTIF(Picks!$A$2:$A$301,A140)&gt;0)</f>
        <v/>
      </c>
      <c r="R140" s="13"/>
      <c r="S140" s="13"/>
      <c r="T140" s="15" t="str">
        <f aca="false">IF(A140="","",COUNTIF(Nudges!$C$2:$C$301,A140)&gt;0)</f>
        <v/>
      </c>
      <c r="U140" s="8"/>
      <c r="V140" s="8"/>
    </row>
    <row r="141" customFormat="false" ht="15" hidden="false" customHeight="false" outlineLevel="0" collapsed="false">
      <c r="A141" s="13"/>
      <c r="B141" s="18"/>
      <c r="C141" s="15" t="str">
        <f aca="false">IF(B141="","",INT((B141-Settings!$B$2)/7)+1)</f>
        <v/>
      </c>
      <c r="D141" s="13"/>
      <c r="E141" s="15" t="str">
        <f aca="false">IF(A141="","",OR(D141=Settings!$B$3,AND(Settings!$B$4&lt;&gt;"",D141=Settings!$B$4)))</f>
        <v/>
      </c>
      <c r="F141" s="13"/>
      <c r="G141" s="13"/>
      <c r="H141" s="13"/>
      <c r="I141" s="13"/>
      <c r="J141" s="13"/>
      <c r="K141" s="18"/>
      <c r="L141" s="13"/>
      <c r="M141" s="15" t="str">
        <f aca="false">IF(A141="","",COUNTIFS(Quotes!$B$2:$B$301,A141,Quotes!$G$2:$G$301,"Y"))</f>
        <v/>
      </c>
      <c r="N141" s="17" t="str">
        <f aca="false">IF(A141="","",IF(M141=0,"",_xlfn.MINIFS(Quotes!$F$2:$F$301,Quotes!$B$2:$B$301,A141,Quotes!$G$2:$G$301,"Y")))</f>
        <v/>
      </c>
      <c r="O141" s="15" t="str">
        <f aca="false">IF(A141="","",AND(E141,G141="Y"))</f>
        <v/>
      </c>
      <c r="P141" s="17" t="str">
        <f aca="false">IF(A141="","",IF(AND(O141,N141&lt;&gt;""),N141,""))</f>
        <v/>
      </c>
      <c r="Q141" s="15" t="str">
        <f aca="false">IF(A141="","",COUNTIF(Picks!$A$2:$A$301,A141)&gt;0)</f>
        <v/>
      </c>
      <c r="R141" s="13"/>
      <c r="S141" s="13"/>
      <c r="T141" s="15" t="str">
        <f aca="false">IF(A141="","",COUNTIF(Nudges!$C$2:$C$301,A141)&gt;0)</f>
        <v/>
      </c>
      <c r="U141" s="8"/>
      <c r="V141" s="8"/>
    </row>
    <row r="142" customFormat="false" ht="15" hidden="false" customHeight="false" outlineLevel="0" collapsed="false">
      <c r="A142" s="13"/>
      <c r="B142" s="18"/>
      <c r="C142" s="15" t="str">
        <f aca="false">IF(B142="","",INT((B142-Settings!$B$2)/7)+1)</f>
        <v/>
      </c>
      <c r="D142" s="13"/>
      <c r="E142" s="15" t="str">
        <f aca="false">IF(A142="","",OR(D142=Settings!$B$3,AND(Settings!$B$4&lt;&gt;"",D142=Settings!$B$4)))</f>
        <v/>
      </c>
      <c r="F142" s="13"/>
      <c r="G142" s="13"/>
      <c r="H142" s="13"/>
      <c r="I142" s="13"/>
      <c r="J142" s="13"/>
      <c r="K142" s="18"/>
      <c r="L142" s="13"/>
      <c r="M142" s="15" t="str">
        <f aca="false">IF(A142="","",COUNTIFS(Quotes!$B$2:$B$301,A142,Quotes!$G$2:$G$301,"Y"))</f>
        <v/>
      </c>
      <c r="N142" s="17" t="str">
        <f aca="false">IF(A142="","",IF(M142=0,"",_xlfn.MINIFS(Quotes!$F$2:$F$301,Quotes!$B$2:$B$301,A142,Quotes!$G$2:$G$301,"Y")))</f>
        <v/>
      </c>
      <c r="O142" s="15" t="str">
        <f aca="false">IF(A142="","",AND(E142,G142="Y"))</f>
        <v/>
      </c>
      <c r="P142" s="17" t="str">
        <f aca="false">IF(A142="","",IF(AND(O142,N142&lt;&gt;""),N142,""))</f>
        <v/>
      </c>
      <c r="Q142" s="15" t="str">
        <f aca="false">IF(A142="","",COUNTIF(Picks!$A$2:$A$301,A142)&gt;0)</f>
        <v/>
      </c>
      <c r="R142" s="13"/>
      <c r="S142" s="13"/>
      <c r="T142" s="15" t="str">
        <f aca="false">IF(A142="","",COUNTIF(Nudges!$C$2:$C$301,A142)&gt;0)</f>
        <v/>
      </c>
      <c r="U142" s="8"/>
      <c r="V142" s="8"/>
    </row>
    <row r="143" customFormat="false" ht="15" hidden="false" customHeight="false" outlineLevel="0" collapsed="false">
      <c r="A143" s="13"/>
      <c r="B143" s="18"/>
      <c r="C143" s="15" t="str">
        <f aca="false">IF(B143="","",INT((B143-Settings!$B$2)/7)+1)</f>
        <v/>
      </c>
      <c r="D143" s="13"/>
      <c r="E143" s="15" t="str">
        <f aca="false">IF(A143="","",OR(D143=Settings!$B$3,AND(Settings!$B$4&lt;&gt;"",D143=Settings!$B$4)))</f>
        <v/>
      </c>
      <c r="F143" s="13"/>
      <c r="G143" s="13"/>
      <c r="H143" s="13"/>
      <c r="I143" s="13"/>
      <c r="J143" s="13"/>
      <c r="K143" s="18"/>
      <c r="L143" s="13"/>
      <c r="M143" s="15" t="str">
        <f aca="false">IF(A143="","",COUNTIFS(Quotes!$B$2:$B$301,A143,Quotes!$G$2:$G$301,"Y"))</f>
        <v/>
      </c>
      <c r="N143" s="17" t="str">
        <f aca="false">IF(A143="","",IF(M143=0,"",_xlfn.MINIFS(Quotes!$F$2:$F$301,Quotes!$B$2:$B$301,A143,Quotes!$G$2:$G$301,"Y")))</f>
        <v/>
      </c>
      <c r="O143" s="15" t="str">
        <f aca="false">IF(A143="","",AND(E143,G143="Y"))</f>
        <v/>
      </c>
      <c r="P143" s="17" t="str">
        <f aca="false">IF(A143="","",IF(AND(O143,N143&lt;&gt;""),N143,""))</f>
        <v/>
      </c>
      <c r="Q143" s="15" t="str">
        <f aca="false">IF(A143="","",COUNTIF(Picks!$A$2:$A$301,A143)&gt;0)</f>
        <v/>
      </c>
      <c r="R143" s="13"/>
      <c r="S143" s="13"/>
      <c r="T143" s="15" t="str">
        <f aca="false">IF(A143="","",COUNTIF(Nudges!$C$2:$C$301,A143)&gt;0)</f>
        <v/>
      </c>
      <c r="U143" s="8"/>
      <c r="V143" s="8"/>
    </row>
    <row r="144" customFormat="false" ht="15" hidden="false" customHeight="false" outlineLevel="0" collapsed="false">
      <c r="A144" s="13"/>
      <c r="B144" s="18"/>
      <c r="C144" s="15" t="str">
        <f aca="false">IF(B144="","",INT((B144-Settings!$B$2)/7)+1)</f>
        <v/>
      </c>
      <c r="D144" s="13"/>
      <c r="E144" s="15" t="str">
        <f aca="false">IF(A144="","",OR(D144=Settings!$B$3,AND(Settings!$B$4&lt;&gt;"",D144=Settings!$B$4)))</f>
        <v/>
      </c>
      <c r="F144" s="13"/>
      <c r="G144" s="13"/>
      <c r="H144" s="13"/>
      <c r="I144" s="13"/>
      <c r="J144" s="13"/>
      <c r="K144" s="18"/>
      <c r="L144" s="13"/>
      <c r="M144" s="15" t="str">
        <f aca="false">IF(A144="","",COUNTIFS(Quotes!$B$2:$B$301,A144,Quotes!$G$2:$G$301,"Y"))</f>
        <v/>
      </c>
      <c r="N144" s="17" t="str">
        <f aca="false">IF(A144="","",IF(M144=0,"",_xlfn.MINIFS(Quotes!$F$2:$F$301,Quotes!$B$2:$B$301,A144,Quotes!$G$2:$G$301,"Y")))</f>
        <v/>
      </c>
      <c r="O144" s="15" t="str">
        <f aca="false">IF(A144="","",AND(E144,G144="Y"))</f>
        <v/>
      </c>
      <c r="P144" s="17" t="str">
        <f aca="false">IF(A144="","",IF(AND(O144,N144&lt;&gt;""),N144,""))</f>
        <v/>
      </c>
      <c r="Q144" s="15" t="str">
        <f aca="false">IF(A144="","",COUNTIF(Picks!$A$2:$A$301,A144)&gt;0)</f>
        <v/>
      </c>
      <c r="R144" s="13"/>
      <c r="S144" s="13"/>
      <c r="T144" s="15" t="str">
        <f aca="false">IF(A144="","",COUNTIF(Nudges!$C$2:$C$301,A144)&gt;0)</f>
        <v/>
      </c>
      <c r="U144" s="8"/>
      <c r="V144" s="8"/>
    </row>
    <row r="145" customFormat="false" ht="15" hidden="false" customHeight="false" outlineLevel="0" collapsed="false">
      <c r="A145" s="13"/>
      <c r="B145" s="18"/>
      <c r="C145" s="15" t="str">
        <f aca="false">IF(B145="","",INT((B145-Settings!$B$2)/7)+1)</f>
        <v/>
      </c>
      <c r="D145" s="13"/>
      <c r="E145" s="15" t="str">
        <f aca="false">IF(A145="","",OR(D145=Settings!$B$3,AND(Settings!$B$4&lt;&gt;"",D145=Settings!$B$4)))</f>
        <v/>
      </c>
      <c r="F145" s="13"/>
      <c r="G145" s="13"/>
      <c r="H145" s="13"/>
      <c r="I145" s="13"/>
      <c r="J145" s="13"/>
      <c r="K145" s="18"/>
      <c r="L145" s="13"/>
      <c r="M145" s="15" t="str">
        <f aca="false">IF(A145="","",COUNTIFS(Quotes!$B$2:$B$301,A145,Quotes!$G$2:$G$301,"Y"))</f>
        <v/>
      </c>
      <c r="N145" s="17" t="str">
        <f aca="false">IF(A145="","",IF(M145=0,"",_xlfn.MINIFS(Quotes!$F$2:$F$301,Quotes!$B$2:$B$301,A145,Quotes!$G$2:$G$301,"Y")))</f>
        <v/>
      </c>
      <c r="O145" s="15" t="str">
        <f aca="false">IF(A145="","",AND(E145,G145="Y"))</f>
        <v/>
      </c>
      <c r="P145" s="17" t="str">
        <f aca="false">IF(A145="","",IF(AND(O145,N145&lt;&gt;""),N145,""))</f>
        <v/>
      </c>
      <c r="Q145" s="15" t="str">
        <f aca="false">IF(A145="","",COUNTIF(Picks!$A$2:$A$301,A145)&gt;0)</f>
        <v/>
      </c>
      <c r="R145" s="13"/>
      <c r="S145" s="13"/>
      <c r="T145" s="15" t="str">
        <f aca="false">IF(A145="","",COUNTIF(Nudges!$C$2:$C$301,A145)&gt;0)</f>
        <v/>
      </c>
      <c r="U145" s="8"/>
      <c r="V145" s="8"/>
    </row>
    <row r="146" customFormat="false" ht="15" hidden="false" customHeight="false" outlineLevel="0" collapsed="false">
      <c r="A146" s="13"/>
      <c r="B146" s="18"/>
      <c r="C146" s="15" t="str">
        <f aca="false">IF(B146="","",INT((B146-Settings!$B$2)/7)+1)</f>
        <v/>
      </c>
      <c r="D146" s="13"/>
      <c r="E146" s="15" t="str">
        <f aca="false">IF(A146="","",OR(D146=Settings!$B$3,AND(Settings!$B$4&lt;&gt;"",D146=Settings!$B$4)))</f>
        <v/>
      </c>
      <c r="F146" s="13"/>
      <c r="G146" s="13"/>
      <c r="H146" s="13"/>
      <c r="I146" s="13"/>
      <c r="J146" s="13"/>
      <c r="K146" s="18"/>
      <c r="L146" s="13"/>
      <c r="M146" s="15" t="str">
        <f aca="false">IF(A146="","",COUNTIFS(Quotes!$B$2:$B$301,A146,Quotes!$G$2:$G$301,"Y"))</f>
        <v/>
      </c>
      <c r="N146" s="17" t="str">
        <f aca="false">IF(A146="","",IF(M146=0,"",_xlfn.MINIFS(Quotes!$F$2:$F$301,Quotes!$B$2:$B$301,A146,Quotes!$G$2:$G$301,"Y")))</f>
        <v/>
      </c>
      <c r="O146" s="15" t="str">
        <f aca="false">IF(A146="","",AND(E146,G146="Y"))</f>
        <v/>
      </c>
      <c r="P146" s="17" t="str">
        <f aca="false">IF(A146="","",IF(AND(O146,N146&lt;&gt;""),N146,""))</f>
        <v/>
      </c>
      <c r="Q146" s="15" t="str">
        <f aca="false">IF(A146="","",COUNTIF(Picks!$A$2:$A$301,A146)&gt;0)</f>
        <v/>
      </c>
      <c r="R146" s="13"/>
      <c r="S146" s="13"/>
      <c r="T146" s="15" t="str">
        <f aca="false">IF(A146="","",COUNTIF(Nudges!$C$2:$C$301,A146)&gt;0)</f>
        <v/>
      </c>
      <c r="U146" s="8"/>
      <c r="V146" s="8"/>
    </row>
    <row r="147" customFormat="false" ht="15" hidden="false" customHeight="false" outlineLevel="0" collapsed="false">
      <c r="A147" s="13"/>
      <c r="B147" s="18"/>
      <c r="C147" s="15" t="str">
        <f aca="false">IF(B147="","",INT((B147-Settings!$B$2)/7)+1)</f>
        <v/>
      </c>
      <c r="D147" s="13"/>
      <c r="E147" s="15" t="str">
        <f aca="false">IF(A147="","",OR(D147=Settings!$B$3,AND(Settings!$B$4&lt;&gt;"",D147=Settings!$B$4)))</f>
        <v/>
      </c>
      <c r="F147" s="13"/>
      <c r="G147" s="13"/>
      <c r="H147" s="13"/>
      <c r="I147" s="13"/>
      <c r="J147" s="13"/>
      <c r="K147" s="18"/>
      <c r="L147" s="13"/>
      <c r="M147" s="15" t="str">
        <f aca="false">IF(A147="","",COUNTIFS(Quotes!$B$2:$B$301,A147,Quotes!$G$2:$G$301,"Y"))</f>
        <v/>
      </c>
      <c r="N147" s="17" t="str">
        <f aca="false">IF(A147="","",IF(M147=0,"",_xlfn.MINIFS(Quotes!$F$2:$F$301,Quotes!$B$2:$B$301,A147,Quotes!$G$2:$G$301,"Y")))</f>
        <v/>
      </c>
      <c r="O147" s="15" t="str">
        <f aca="false">IF(A147="","",AND(E147,G147="Y"))</f>
        <v/>
      </c>
      <c r="P147" s="17" t="str">
        <f aca="false">IF(A147="","",IF(AND(O147,N147&lt;&gt;""),N147,""))</f>
        <v/>
      </c>
      <c r="Q147" s="15" t="str">
        <f aca="false">IF(A147="","",COUNTIF(Picks!$A$2:$A$301,A147)&gt;0)</f>
        <v/>
      </c>
      <c r="R147" s="13"/>
      <c r="S147" s="13"/>
      <c r="T147" s="15" t="str">
        <f aca="false">IF(A147="","",COUNTIF(Nudges!$C$2:$C$301,A147)&gt;0)</f>
        <v/>
      </c>
      <c r="U147" s="8"/>
      <c r="V147" s="8"/>
    </row>
    <row r="148" customFormat="false" ht="15" hidden="false" customHeight="false" outlineLevel="0" collapsed="false">
      <c r="A148" s="13"/>
      <c r="B148" s="18"/>
      <c r="C148" s="15" t="str">
        <f aca="false">IF(B148="","",INT((B148-Settings!$B$2)/7)+1)</f>
        <v/>
      </c>
      <c r="D148" s="13"/>
      <c r="E148" s="15" t="str">
        <f aca="false">IF(A148="","",OR(D148=Settings!$B$3,AND(Settings!$B$4&lt;&gt;"",D148=Settings!$B$4)))</f>
        <v/>
      </c>
      <c r="F148" s="13"/>
      <c r="G148" s="13"/>
      <c r="H148" s="13"/>
      <c r="I148" s="13"/>
      <c r="J148" s="13"/>
      <c r="K148" s="18"/>
      <c r="L148" s="13"/>
      <c r="M148" s="15" t="str">
        <f aca="false">IF(A148="","",COUNTIFS(Quotes!$B$2:$B$301,A148,Quotes!$G$2:$G$301,"Y"))</f>
        <v/>
      </c>
      <c r="N148" s="17" t="str">
        <f aca="false">IF(A148="","",IF(M148=0,"",_xlfn.MINIFS(Quotes!$F$2:$F$301,Quotes!$B$2:$B$301,A148,Quotes!$G$2:$G$301,"Y")))</f>
        <v/>
      </c>
      <c r="O148" s="15" t="str">
        <f aca="false">IF(A148="","",AND(E148,G148="Y"))</f>
        <v/>
      </c>
      <c r="P148" s="17" t="str">
        <f aca="false">IF(A148="","",IF(AND(O148,N148&lt;&gt;""),N148,""))</f>
        <v/>
      </c>
      <c r="Q148" s="15" t="str">
        <f aca="false">IF(A148="","",COUNTIF(Picks!$A$2:$A$301,A148)&gt;0)</f>
        <v/>
      </c>
      <c r="R148" s="13"/>
      <c r="S148" s="13"/>
      <c r="T148" s="15" t="str">
        <f aca="false">IF(A148="","",COUNTIF(Nudges!$C$2:$C$301,A148)&gt;0)</f>
        <v/>
      </c>
      <c r="U148" s="8"/>
      <c r="V148" s="8"/>
    </row>
    <row r="149" customFormat="false" ht="15" hidden="false" customHeight="false" outlineLevel="0" collapsed="false">
      <c r="A149" s="13"/>
      <c r="B149" s="18"/>
      <c r="C149" s="15" t="str">
        <f aca="false">IF(B149="","",INT((B149-Settings!$B$2)/7)+1)</f>
        <v/>
      </c>
      <c r="D149" s="13"/>
      <c r="E149" s="15" t="str">
        <f aca="false">IF(A149="","",OR(D149=Settings!$B$3,AND(Settings!$B$4&lt;&gt;"",D149=Settings!$B$4)))</f>
        <v/>
      </c>
      <c r="F149" s="13"/>
      <c r="G149" s="13"/>
      <c r="H149" s="13"/>
      <c r="I149" s="13"/>
      <c r="J149" s="13"/>
      <c r="K149" s="18"/>
      <c r="L149" s="13"/>
      <c r="M149" s="15" t="str">
        <f aca="false">IF(A149="","",COUNTIFS(Quotes!$B$2:$B$301,A149,Quotes!$G$2:$G$301,"Y"))</f>
        <v/>
      </c>
      <c r="N149" s="17" t="str">
        <f aca="false">IF(A149="","",IF(M149=0,"",_xlfn.MINIFS(Quotes!$F$2:$F$301,Quotes!$B$2:$B$301,A149,Quotes!$G$2:$G$301,"Y")))</f>
        <v/>
      </c>
      <c r="O149" s="15" t="str">
        <f aca="false">IF(A149="","",AND(E149,G149="Y"))</f>
        <v/>
      </c>
      <c r="P149" s="17" t="str">
        <f aca="false">IF(A149="","",IF(AND(O149,N149&lt;&gt;""),N149,""))</f>
        <v/>
      </c>
      <c r="Q149" s="15" t="str">
        <f aca="false">IF(A149="","",COUNTIF(Picks!$A$2:$A$301,A149)&gt;0)</f>
        <v/>
      </c>
      <c r="R149" s="13"/>
      <c r="S149" s="13"/>
      <c r="T149" s="15" t="str">
        <f aca="false">IF(A149="","",COUNTIF(Nudges!$C$2:$C$301,A149)&gt;0)</f>
        <v/>
      </c>
      <c r="U149" s="8"/>
      <c r="V149" s="8"/>
    </row>
    <row r="150" customFormat="false" ht="15" hidden="false" customHeight="false" outlineLevel="0" collapsed="false">
      <c r="A150" s="13"/>
      <c r="B150" s="18"/>
      <c r="C150" s="15" t="str">
        <f aca="false">IF(B150="","",INT((B150-Settings!$B$2)/7)+1)</f>
        <v/>
      </c>
      <c r="D150" s="13"/>
      <c r="E150" s="15" t="str">
        <f aca="false">IF(A150="","",OR(D150=Settings!$B$3,AND(Settings!$B$4&lt;&gt;"",D150=Settings!$B$4)))</f>
        <v/>
      </c>
      <c r="F150" s="13"/>
      <c r="G150" s="13"/>
      <c r="H150" s="13"/>
      <c r="I150" s="13"/>
      <c r="J150" s="13"/>
      <c r="K150" s="18"/>
      <c r="L150" s="13"/>
      <c r="M150" s="15" t="str">
        <f aca="false">IF(A150="","",COUNTIFS(Quotes!$B$2:$B$301,A150,Quotes!$G$2:$G$301,"Y"))</f>
        <v/>
      </c>
      <c r="N150" s="17" t="str">
        <f aca="false">IF(A150="","",IF(M150=0,"",_xlfn.MINIFS(Quotes!$F$2:$F$301,Quotes!$B$2:$B$301,A150,Quotes!$G$2:$G$301,"Y")))</f>
        <v/>
      </c>
      <c r="O150" s="15" t="str">
        <f aca="false">IF(A150="","",AND(E150,G150="Y"))</f>
        <v/>
      </c>
      <c r="P150" s="17" t="str">
        <f aca="false">IF(A150="","",IF(AND(O150,N150&lt;&gt;""),N150,""))</f>
        <v/>
      </c>
      <c r="Q150" s="15" t="str">
        <f aca="false">IF(A150="","",COUNTIF(Picks!$A$2:$A$301,A150)&gt;0)</f>
        <v/>
      </c>
      <c r="R150" s="13"/>
      <c r="S150" s="13"/>
      <c r="T150" s="15" t="str">
        <f aca="false">IF(A150="","",COUNTIF(Nudges!$C$2:$C$301,A150)&gt;0)</f>
        <v/>
      </c>
      <c r="U150" s="8"/>
      <c r="V150" s="8"/>
    </row>
    <row r="151" customFormat="false" ht="15" hidden="false" customHeight="false" outlineLevel="0" collapsed="false">
      <c r="A151" s="13"/>
      <c r="B151" s="18"/>
      <c r="C151" s="15" t="str">
        <f aca="false">IF(B151="","",INT((B151-Settings!$B$2)/7)+1)</f>
        <v/>
      </c>
      <c r="D151" s="13"/>
      <c r="E151" s="15" t="str">
        <f aca="false">IF(A151="","",OR(D151=Settings!$B$3,AND(Settings!$B$4&lt;&gt;"",D151=Settings!$B$4)))</f>
        <v/>
      </c>
      <c r="F151" s="13"/>
      <c r="G151" s="13"/>
      <c r="H151" s="13"/>
      <c r="I151" s="13"/>
      <c r="J151" s="13"/>
      <c r="K151" s="18"/>
      <c r="L151" s="13"/>
      <c r="M151" s="15" t="str">
        <f aca="false">IF(A151="","",COUNTIFS(Quotes!$B$2:$B$301,A151,Quotes!$G$2:$G$301,"Y"))</f>
        <v/>
      </c>
      <c r="N151" s="17" t="str">
        <f aca="false">IF(A151="","",IF(M151=0,"",_xlfn.MINIFS(Quotes!$F$2:$F$301,Quotes!$B$2:$B$301,A151,Quotes!$G$2:$G$301,"Y")))</f>
        <v/>
      </c>
      <c r="O151" s="15" t="str">
        <f aca="false">IF(A151="","",AND(E151,G151="Y"))</f>
        <v/>
      </c>
      <c r="P151" s="17" t="str">
        <f aca="false">IF(A151="","",IF(AND(O151,N151&lt;&gt;""),N151,""))</f>
        <v/>
      </c>
      <c r="Q151" s="15" t="str">
        <f aca="false">IF(A151="","",COUNTIF(Picks!$A$2:$A$301,A151)&gt;0)</f>
        <v/>
      </c>
      <c r="R151" s="13"/>
      <c r="S151" s="13"/>
      <c r="T151" s="15" t="str">
        <f aca="false">IF(A151="","",COUNTIF(Nudges!$C$2:$C$301,A151)&gt;0)</f>
        <v/>
      </c>
      <c r="U151" s="8"/>
      <c r="V151" s="8"/>
    </row>
    <row r="152" customFormat="false" ht="15" hidden="false" customHeight="false" outlineLevel="0" collapsed="false">
      <c r="A152" s="13"/>
      <c r="B152" s="18"/>
      <c r="C152" s="15" t="str">
        <f aca="false">IF(B152="","",INT((B152-Settings!$B$2)/7)+1)</f>
        <v/>
      </c>
      <c r="D152" s="13"/>
      <c r="E152" s="15" t="str">
        <f aca="false">IF(A152="","",OR(D152=Settings!$B$3,AND(Settings!$B$4&lt;&gt;"",D152=Settings!$B$4)))</f>
        <v/>
      </c>
      <c r="F152" s="13"/>
      <c r="G152" s="13"/>
      <c r="H152" s="13"/>
      <c r="I152" s="13"/>
      <c r="J152" s="13"/>
      <c r="K152" s="18"/>
      <c r="L152" s="13"/>
      <c r="M152" s="15" t="str">
        <f aca="false">IF(A152="","",COUNTIFS(Quotes!$B$2:$B$301,A152,Quotes!$G$2:$G$301,"Y"))</f>
        <v/>
      </c>
      <c r="N152" s="17" t="str">
        <f aca="false">IF(A152="","",IF(M152=0,"",_xlfn.MINIFS(Quotes!$F$2:$F$301,Quotes!$B$2:$B$301,A152,Quotes!$G$2:$G$301,"Y")))</f>
        <v/>
      </c>
      <c r="O152" s="15" t="str">
        <f aca="false">IF(A152="","",AND(E152,G152="Y"))</f>
        <v/>
      </c>
      <c r="P152" s="17" t="str">
        <f aca="false">IF(A152="","",IF(AND(O152,N152&lt;&gt;""),N152,""))</f>
        <v/>
      </c>
      <c r="Q152" s="15" t="str">
        <f aca="false">IF(A152="","",COUNTIF(Picks!$A$2:$A$301,A152)&gt;0)</f>
        <v/>
      </c>
      <c r="R152" s="13"/>
      <c r="S152" s="13"/>
      <c r="T152" s="15" t="str">
        <f aca="false">IF(A152="","",COUNTIF(Nudges!$C$2:$C$301,A152)&gt;0)</f>
        <v/>
      </c>
      <c r="U152" s="8"/>
      <c r="V152" s="8"/>
    </row>
    <row r="153" customFormat="false" ht="15" hidden="false" customHeight="false" outlineLevel="0" collapsed="false">
      <c r="A153" s="13"/>
      <c r="B153" s="18"/>
      <c r="C153" s="15" t="str">
        <f aca="false">IF(B153="","",INT((B153-Settings!$B$2)/7)+1)</f>
        <v/>
      </c>
      <c r="D153" s="13"/>
      <c r="E153" s="15" t="str">
        <f aca="false">IF(A153="","",OR(D153=Settings!$B$3,AND(Settings!$B$4&lt;&gt;"",D153=Settings!$B$4)))</f>
        <v/>
      </c>
      <c r="F153" s="13"/>
      <c r="G153" s="13"/>
      <c r="H153" s="13"/>
      <c r="I153" s="13"/>
      <c r="J153" s="13"/>
      <c r="K153" s="18"/>
      <c r="L153" s="13"/>
      <c r="M153" s="15" t="str">
        <f aca="false">IF(A153="","",COUNTIFS(Quotes!$B$2:$B$301,A153,Quotes!$G$2:$G$301,"Y"))</f>
        <v/>
      </c>
      <c r="N153" s="17" t="str">
        <f aca="false">IF(A153="","",IF(M153=0,"",_xlfn.MINIFS(Quotes!$F$2:$F$301,Quotes!$B$2:$B$301,A153,Quotes!$G$2:$G$301,"Y")))</f>
        <v/>
      </c>
      <c r="O153" s="15" t="str">
        <f aca="false">IF(A153="","",AND(E153,G153="Y"))</f>
        <v/>
      </c>
      <c r="P153" s="17" t="str">
        <f aca="false">IF(A153="","",IF(AND(O153,N153&lt;&gt;""),N153,""))</f>
        <v/>
      </c>
      <c r="Q153" s="15" t="str">
        <f aca="false">IF(A153="","",COUNTIF(Picks!$A$2:$A$301,A153)&gt;0)</f>
        <v/>
      </c>
      <c r="R153" s="13"/>
      <c r="S153" s="13"/>
      <c r="T153" s="15" t="str">
        <f aca="false">IF(A153="","",COUNTIF(Nudges!$C$2:$C$301,A153)&gt;0)</f>
        <v/>
      </c>
      <c r="U153" s="8"/>
      <c r="V153" s="8"/>
    </row>
    <row r="154" customFormat="false" ht="15" hidden="false" customHeight="false" outlineLevel="0" collapsed="false">
      <c r="A154" s="13"/>
      <c r="B154" s="18"/>
      <c r="C154" s="15" t="str">
        <f aca="false">IF(B154="","",INT((B154-Settings!$B$2)/7)+1)</f>
        <v/>
      </c>
      <c r="D154" s="13"/>
      <c r="E154" s="15" t="str">
        <f aca="false">IF(A154="","",OR(D154=Settings!$B$3,AND(Settings!$B$4&lt;&gt;"",D154=Settings!$B$4)))</f>
        <v/>
      </c>
      <c r="F154" s="13"/>
      <c r="G154" s="13"/>
      <c r="H154" s="13"/>
      <c r="I154" s="13"/>
      <c r="J154" s="13"/>
      <c r="K154" s="18"/>
      <c r="L154" s="13"/>
      <c r="M154" s="15" t="str">
        <f aca="false">IF(A154="","",COUNTIFS(Quotes!$B$2:$B$301,A154,Quotes!$G$2:$G$301,"Y"))</f>
        <v/>
      </c>
      <c r="N154" s="17" t="str">
        <f aca="false">IF(A154="","",IF(M154=0,"",_xlfn.MINIFS(Quotes!$F$2:$F$301,Quotes!$B$2:$B$301,A154,Quotes!$G$2:$G$301,"Y")))</f>
        <v/>
      </c>
      <c r="O154" s="15" t="str">
        <f aca="false">IF(A154="","",AND(E154,G154="Y"))</f>
        <v/>
      </c>
      <c r="P154" s="17" t="str">
        <f aca="false">IF(A154="","",IF(AND(O154,N154&lt;&gt;""),N154,""))</f>
        <v/>
      </c>
      <c r="Q154" s="15" t="str">
        <f aca="false">IF(A154="","",COUNTIF(Picks!$A$2:$A$301,A154)&gt;0)</f>
        <v/>
      </c>
      <c r="R154" s="13"/>
      <c r="S154" s="13"/>
      <c r="T154" s="15" t="str">
        <f aca="false">IF(A154="","",COUNTIF(Nudges!$C$2:$C$301,A154)&gt;0)</f>
        <v/>
      </c>
      <c r="U154" s="8"/>
      <c r="V154" s="8"/>
    </row>
    <row r="155" customFormat="false" ht="15" hidden="false" customHeight="false" outlineLevel="0" collapsed="false">
      <c r="A155" s="13"/>
      <c r="B155" s="18"/>
      <c r="C155" s="15" t="str">
        <f aca="false">IF(B155="","",INT((B155-Settings!$B$2)/7)+1)</f>
        <v/>
      </c>
      <c r="D155" s="13"/>
      <c r="E155" s="15" t="str">
        <f aca="false">IF(A155="","",OR(D155=Settings!$B$3,AND(Settings!$B$4&lt;&gt;"",D155=Settings!$B$4)))</f>
        <v/>
      </c>
      <c r="F155" s="13"/>
      <c r="G155" s="13"/>
      <c r="H155" s="13"/>
      <c r="I155" s="13"/>
      <c r="J155" s="13"/>
      <c r="K155" s="18"/>
      <c r="L155" s="13"/>
      <c r="M155" s="15" t="str">
        <f aca="false">IF(A155="","",COUNTIFS(Quotes!$B$2:$B$301,A155,Quotes!$G$2:$G$301,"Y"))</f>
        <v/>
      </c>
      <c r="N155" s="17" t="str">
        <f aca="false">IF(A155="","",IF(M155=0,"",_xlfn.MINIFS(Quotes!$F$2:$F$301,Quotes!$B$2:$B$301,A155,Quotes!$G$2:$G$301,"Y")))</f>
        <v/>
      </c>
      <c r="O155" s="15" t="str">
        <f aca="false">IF(A155="","",AND(E155,G155="Y"))</f>
        <v/>
      </c>
      <c r="P155" s="17" t="str">
        <f aca="false">IF(A155="","",IF(AND(O155,N155&lt;&gt;""),N155,""))</f>
        <v/>
      </c>
      <c r="Q155" s="15" t="str">
        <f aca="false">IF(A155="","",COUNTIF(Picks!$A$2:$A$301,A155)&gt;0)</f>
        <v/>
      </c>
      <c r="R155" s="13"/>
      <c r="S155" s="13"/>
      <c r="T155" s="15" t="str">
        <f aca="false">IF(A155="","",COUNTIF(Nudges!$C$2:$C$301,A155)&gt;0)</f>
        <v/>
      </c>
      <c r="U155" s="8"/>
      <c r="V155" s="8"/>
    </row>
    <row r="156" customFormat="false" ht="15" hidden="false" customHeight="false" outlineLevel="0" collapsed="false">
      <c r="A156" s="13"/>
      <c r="B156" s="18"/>
      <c r="C156" s="15" t="str">
        <f aca="false">IF(B156="","",INT((B156-Settings!$B$2)/7)+1)</f>
        <v/>
      </c>
      <c r="D156" s="13"/>
      <c r="E156" s="15" t="str">
        <f aca="false">IF(A156="","",OR(D156=Settings!$B$3,AND(Settings!$B$4&lt;&gt;"",D156=Settings!$B$4)))</f>
        <v/>
      </c>
      <c r="F156" s="13"/>
      <c r="G156" s="13"/>
      <c r="H156" s="13"/>
      <c r="I156" s="13"/>
      <c r="J156" s="13"/>
      <c r="K156" s="18"/>
      <c r="L156" s="13"/>
      <c r="M156" s="15" t="str">
        <f aca="false">IF(A156="","",COUNTIFS(Quotes!$B$2:$B$301,A156,Quotes!$G$2:$G$301,"Y"))</f>
        <v/>
      </c>
      <c r="N156" s="17" t="str">
        <f aca="false">IF(A156="","",IF(M156=0,"",_xlfn.MINIFS(Quotes!$F$2:$F$301,Quotes!$B$2:$B$301,A156,Quotes!$G$2:$G$301,"Y")))</f>
        <v/>
      </c>
      <c r="O156" s="15" t="str">
        <f aca="false">IF(A156="","",AND(E156,G156="Y"))</f>
        <v/>
      </c>
      <c r="P156" s="17" t="str">
        <f aca="false">IF(A156="","",IF(AND(O156,N156&lt;&gt;""),N156,""))</f>
        <v/>
      </c>
      <c r="Q156" s="15" t="str">
        <f aca="false">IF(A156="","",COUNTIF(Picks!$A$2:$A$301,A156)&gt;0)</f>
        <v/>
      </c>
      <c r="R156" s="13"/>
      <c r="S156" s="13"/>
      <c r="T156" s="15" t="str">
        <f aca="false">IF(A156="","",COUNTIF(Nudges!$C$2:$C$301,A156)&gt;0)</f>
        <v/>
      </c>
      <c r="U156" s="8"/>
      <c r="V156" s="8"/>
    </row>
    <row r="157" customFormat="false" ht="15" hidden="false" customHeight="false" outlineLevel="0" collapsed="false">
      <c r="A157" s="13"/>
      <c r="B157" s="18"/>
      <c r="C157" s="15" t="str">
        <f aca="false">IF(B157="","",INT((B157-Settings!$B$2)/7)+1)</f>
        <v/>
      </c>
      <c r="D157" s="13"/>
      <c r="E157" s="15" t="str">
        <f aca="false">IF(A157="","",OR(D157=Settings!$B$3,AND(Settings!$B$4&lt;&gt;"",D157=Settings!$B$4)))</f>
        <v/>
      </c>
      <c r="F157" s="13"/>
      <c r="G157" s="13"/>
      <c r="H157" s="13"/>
      <c r="I157" s="13"/>
      <c r="J157" s="13"/>
      <c r="K157" s="18"/>
      <c r="L157" s="13"/>
      <c r="M157" s="15" t="str">
        <f aca="false">IF(A157="","",COUNTIFS(Quotes!$B$2:$B$301,A157,Quotes!$G$2:$G$301,"Y"))</f>
        <v/>
      </c>
      <c r="N157" s="17" t="str">
        <f aca="false">IF(A157="","",IF(M157=0,"",_xlfn.MINIFS(Quotes!$F$2:$F$301,Quotes!$B$2:$B$301,A157,Quotes!$G$2:$G$301,"Y")))</f>
        <v/>
      </c>
      <c r="O157" s="15" t="str">
        <f aca="false">IF(A157="","",AND(E157,G157="Y"))</f>
        <v/>
      </c>
      <c r="P157" s="17" t="str">
        <f aca="false">IF(A157="","",IF(AND(O157,N157&lt;&gt;""),N157,""))</f>
        <v/>
      </c>
      <c r="Q157" s="15" t="str">
        <f aca="false">IF(A157="","",COUNTIF(Picks!$A$2:$A$301,A157)&gt;0)</f>
        <v/>
      </c>
      <c r="R157" s="13"/>
      <c r="S157" s="13"/>
      <c r="T157" s="15" t="str">
        <f aca="false">IF(A157="","",COUNTIF(Nudges!$C$2:$C$301,A157)&gt;0)</f>
        <v/>
      </c>
      <c r="U157" s="8"/>
      <c r="V157" s="8"/>
    </row>
    <row r="158" customFormat="false" ht="15" hidden="false" customHeight="false" outlineLevel="0" collapsed="false">
      <c r="A158" s="13"/>
      <c r="B158" s="18"/>
      <c r="C158" s="15" t="str">
        <f aca="false">IF(B158="","",INT((B158-Settings!$B$2)/7)+1)</f>
        <v/>
      </c>
      <c r="D158" s="13"/>
      <c r="E158" s="15" t="str">
        <f aca="false">IF(A158="","",OR(D158=Settings!$B$3,AND(Settings!$B$4&lt;&gt;"",D158=Settings!$B$4)))</f>
        <v/>
      </c>
      <c r="F158" s="13"/>
      <c r="G158" s="13"/>
      <c r="H158" s="13"/>
      <c r="I158" s="13"/>
      <c r="J158" s="13"/>
      <c r="K158" s="18"/>
      <c r="L158" s="13"/>
      <c r="M158" s="15" t="str">
        <f aca="false">IF(A158="","",COUNTIFS(Quotes!$B$2:$B$301,A158,Quotes!$G$2:$G$301,"Y"))</f>
        <v/>
      </c>
      <c r="N158" s="17" t="str">
        <f aca="false">IF(A158="","",IF(M158=0,"",_xlfn.MINIFS(Quotes!$F$2:$F$301,Quotes!$B$2:$B$301,A158,Quotes!$G$2:$G$301,"Y")))</f>
        <v/>
      </c>
      <c r="O158" s="15" t="str">
        <f aca="false">IF(A158="","",AND(E158,G158="Y"))</f>
        <v/>
      </c>
      <c r="P158" s="17" t="str">
        <f aca="false">IF(A158="","",IF(AND(O158,N158&lt;&gt;""),N158,""))</f>
        <v/>
      </c>
      <c r="Q158" s="15" t="str">
        <f aca="false">IF(A158="","",COUNTIF(Picks!$A$2:$A$301,A158)&gt;0)</f>
        <v/>
      </c>
      <c r="R158" s="13"/>
      <c r="S158" s="13"/>
      <c r="T158" s="15" t="str">
        <f aca="false">IF(A158="","",COUNTIF(Nudges!$C$2:$C$301,A158)&gt;0)</f>
        <v/>
      </c>
      <c r="U158" s="8"/>
      <c r="V158" s="8"/>
    </row>
    <row r="159" customFormat="false" ht="15" hidden="false" customHeight="false" outlineLevel="0" collapsed="false">
      <c r="A159" s="13"/>
      <c r="B159" s="18"/>
      <c r="C159" s="15" t="str">
        <f aca="false">IF(B159="","",INT((B159-Settings!$B$2)/7)+1)</f>
        <v/>
      </c>
      <c r="D159" s="13"/>
      <c r="E159" s="15" t="str">
        <f aca="false">IF(A159="","",OR(D159=Settings!$B$3,AND(Settings!$B$4&lt;&gt;"",D159=Settings!$B$4)))</f>
        <v/>
      </c>
      <c r="F159" s="13"/>
      <c r="G159" s="13"/>
      <c r="H159" s="13"/>
      <c r="I159" s="13"/>
      <c r="J159" s="13"/>
      <c r="K159" s="18"/>
      <c r="L159" s="13"/>
      <c r="M159" s="15" t="str">
        <f aca="false">IF(A159="","",COUNTIFS(Quotes!$B$2:$B$301,A159,Quotes!$G$2:$G$301,"Y"))</f>
        <v/>
      </c>
      <c r="N159" s="17" t="str">
        <f aca="false">IF(A159="","",IF(M159=0,"",_xlfn.MINIFS(Quotes!$F$2:$F$301,Quotes!$B$2:$B$301,A159,Quotes!$G$2:$G$301,"Y")))</f>
        <v/>
      </c>
      <c r="O159" s="15" t="str">
        <f aca="false">IF(A159="","",AND(E159,G159="Y"))</f>
        <v/>
      </c>
      <c r="P159" s="17" t="str">
        <f aca="false">IF(A159="","",IF(AND(O159,N159&lt;&gt;""),N159,""))</f>
        <v/>
      </c>
      <c r="Q159" s="15" t="str">
        <f aca="false">IF(A159="","",COUNTIF(Picks!$A$2:$A$301,A159)&gt;0)</f>
        <v/>
      </c>
      <c r="R159" s="13"/>
      <c r="S159" s="13"/>
      <c r="T159" s="15" t="str">
        <f aca="false">IF(A159="","",COUNTIF(Nudges!$C$2:$C$301,A159)&gt;0)</f>
        <v/>
      </c>
      <c r="U159" s="8"/>
      <c r="V159" s="8"/>
    </row>
    <row r="160" customFormat="false" ht="15" hidden="false" customHeight="false" outlineLevel="0" collapsed="false">
      <c r="A160" s="13"/>
      <c r="B160" s="18"/>
      <c r="C160" s="15" t="str">
        <f aca="false">IF(B160="","",INT((B160-Settings!$B$2)/7)+1)</f>
        <v/>
      </c>
      <c r="D160" s="13"/>
      <c r="E160" s="15" t="str">
        <f aca="false">IF(A160="","",OR(D160=Settings!$B$3,AND(Settings!$B$4&lt;&gt;"",D160=Settings!$B$4)))</f>
        <v/>
      </c>
      <c r="F160" s="13"/>
      <c r="G160" s="13"/>
      <c r="H160" s="13"/>
      <c r="I160" s="13"/>
      <c r="J160" s="13"/>
      <c r="K160" s="18"/>
      <c r="L160" s="13"/>
      <c r="M160" s="15" t="str">
        <f aca="false">IF(A160="","",COUNTIFS(Quotes!$B$2:$B$301,A160,Quotes!$G$2:$G$301,"Y"))</f>
        <v/>
      </c>
      <c r="N160" s="17" t="str">
        <f aca="false">IF(A160="","",IF(M160=0,"",_xlfn.MINIFS(Quotes!$F$2:$F$301,Quotes!$B$2:$B$301,A160,Quotes!$G$2:$G$301,"Y")))</f>
        <v/>
      </c>
      <c r="O160" s="15" t="str">
        <f aca="false">IF(A160="","",AND(E160,G160="Y"))</f>
        <v/>
      </c>
      <c r="P160" s="17" t="str">
        <f aca="false">IF(A160="","",IF(AND(O160,N160&lt;&gt;""),N160,""))</f>
        <v/>
      </c>
      <c r="Q160" s="15" t="str">
        <f aca="false">IF(A160="","",COUNTIF(Picks!$A$2:$A$301,A160)&gt;0)</f>
        <v/>
      </c>
      <c r="R160" s="13"/>
      <c r="S160" s="13"/>
      <c r="T160" s="15" t="str">
        <f aca="false">IF(A160="","",COUNTIF(Nudges!$C$2:$C$301,A160)&gt;0)</f>
        <v/>
      </c>
      <c r="U160" s="8"/>
      <c r="V160" s="8"/>
    </row>
    <row r="161" customFormat="false" ht="15" hidden="false" customHeight="false" outlineLevel="0" collapsed="false">
      <c r="A161" s="13"/>
      <c r="B161" s="18"/>
      <c r="C161" s="15" t="str">
        <f aca="false">IF(B161="","",INT((B161-Settings!$B$2)/7)+1)</f>
        <v/>
      </c>
      <c r="D161" s="13"/>
      <c r="E161" s="15" t="str">
        <f aca="false">IF(A161="","",OR(D161=Settings!$B$3,AND(Settings!$B$4&lt;&gt;"",D161=Settings!$B$4)))</f>
        <v/>
      </c>
      <c r="F161" s="13"/>
      <c r="G161" s="13"/>
      <c r="H161" s="13"/>
      <c r="I161" s="13"/>
      <c r="J161" s="13"/>
      <c r="K161" s="18"/>
      <c r="L161" s="13"/>
      <c r="M161" s="15" t="str">
        <f aca="false">IF(A161="","",COUNTIFS(Quotes!$B$2:$B$301,A161,Quotes!$G$2:$G$301,"Y"))</f>
        <v/>
      </c>
      <c r="N161" s="17" t="str">
        <f aca="false">IF(A161="","",IF(M161=0,"",_xlfn.MINIFS(Quotes!$F$2:$F$301,Quotes!$B$2:$B$301,A161,Quotes!$G$2:$G$301,"Y")))</f>
        <v/>
      </c>
      <c r="O161" s="15" t="str">
        <f aca="false">IF(A161="","",AND(E161,G161="Y"))</f>
        <v/>
      </c>
      <c r="P161" s="17" t="str">
        <f aca="false">IF(A161="","",IF(AND(O161,N161&lt;&gt;""),N161,""))</f>
        <v/>
      </c>
      <c r="Q161" s="15" t="str">
        <f aca="false">IF(A161="","",COUNTIF(Picks!$A$2:$A$301,A161)&gt;0)</f>
        <v/>
      </c>
      <c r="R161" s="13"/>
      <c r="S161" s="13"/>
      <c r="T161" s="15" t="str">
        <f aca="false">IF(A161="","",COUNTIF(Nudges!$C$2:$C$301,A161)&gt;0)</f>
        <v/>
      </c>
      <c r="U161" s="8"/>
      <c r="V161" s="8"/>
    </row>
    <row r="162" customFormat="false" ht="15" hidden="false" customHeight="false" outlineLevel="0" collapsed="false">
      <c r="A162" s="13"/>
      <c r="B162" s="18"/>
      <c r="C162" s="15" t="str">
        <f aca="false">IF(B162="","",INT((B162-Settings!$B$2)/7)+1)</f>
        <v/>
      </c>
      <c r="D162" s="13"/>
      <c r="E162" s="15" t="str">
        <f aca="false">IF(A162="","",OR(D162=Settings!$B$3,AND(Settings!$B$4&lt;&gt;"",D162=Settings!$B$4)))</f>
        <v/>
      </c>
      <c r="F162" s="13"/>
      <c r="G162" s="13"/>
      <c r="H162" s="13"/>
      <c r="I162" s="13"/>
      <c r="J162" s="13"/>
      <c r="K162" s="18"/>
      <c r="L162" s="13"/>
      <c r="M162" s="15" t="str">
        <f aca="false">IF(A162="","",COUNTIFS(Quotes!$B$2:$B$301,A162,Quotes!$G$2:$G$301,"Y"))</f>
        <v/>
      </c>
      <c r="N162" s="17" t="str">
        <f aca="false">IF(A162="","",IF(M162=0,"",_xlfn.MINIFS(Quotes!$F$2:$F$301,Quotes!$B$2:$B$301,A162,Quotes!$G$2:$G$301,"Y")))</f>
        <v/>
      </c>
      <c r="O162" s="15" t="str">
        <f aca="false">IF(A162="","",AND(E162,G162="Y"))</f>
        <v/>
      </c>
      <c r="P162" s="17" t="str">
        <f aca="false">IF(A162="","",IF(AND(O162,N162&lt;&gt;""),N162,""))</f>
        <v/>
      </c>
      <c r="Q162" s="15" t="str">
        <f aca="false">IF(A162="","",COUNTIF(Picks!$A$2:$A$301,A162)&gt;0)</f>
        <v/>
      </c>
      <c r="R162" s="13"/>
      <c r="S162" s="13"/>
      <c r="T162" s="15" t="str">
        <f aca="false">IF(A162="","",COUNTIF(Nudges!$C$2:$C$301,A162)&gt;0)</f>
        <v/>
      </c>
      <c r="U162" s="8"/>
      <c r="V162" s="8"/>
    </row>
    <row r="163" customFormat="false" ht="15" hidden="false" customHeight="false" outlineLevel="0" collapsed="false">
      <c r="A163" s="13"/>
      <c r="B163" s="18"/>
      <c r="C163" s="15" t="str">
        <f aca="false">IF(B163="","",INT((B163-Settings!$B$2)/7)+1)</f>
        <v/>
      </c>
      <c r="D163" s="13"/>
      <c r="E163" s="15" t="str">
        <f aca="false">IF(A163="","",OR(D163=Settings!$B$3,AND(Settings!$B$4&lt;&gt;"",D163=Settings!$B$4)))</f>
        <v/>
      </c>
      <c r="F163" s="13"/>
      <c r="G163" s="13"/>
      <c r="H163" s="13"/>
      <c r="I163" s="13"/>
      <c r="J163" s="13"/>
      <c r="K163" s="18"/>
      <c r="L163" s="13"/>
      <c r="M163" s="15" t="str">
        <f aca="false">IF(A163="","",COUNTIFS(Quotes!$B$2:$B$301,A163,Quotes!$G$2:$G$301,"Y"))</f>
        <v/>
      </c>
      <c r="N163" s="17" t="str">
        <f aca="false">IF(A163="","",IF(M163=0,"",_xlfn.MINIFS(Quotes!$F$2:$F$301,Quotes!$B$2:$B$301,A163,Quotes!$G$2:$G$301,"Y")))</f>
        <v/>
      </c>
      <c r="O163" s="15" t="str">
        <f aca="false">IF(A163="","",AND(E163,G163="Y"))</f>
        <v/>
      </c>
      <c r="P163" s="17" t="str">
        <f aca="false">IF(A163="","",IF(AND(O163,N163&lt;&gt;""),N163,""))</f>
        <v/>
      </c>
      <c r="Q163" s="15" t="str">
        <f aca="false">IF(A163="","",COUNTIF(Picks!$A$2:$A$301,A163)&gt;0)</f>
        <v/>
      </c>
      <c r="R163" s="13"/>
      <c r="S163" s="13"/>
      <c r="T163" s="15" t="str">
        <f aca="false">IF(A163="","",COUNTIF(Nudges!$C$2:$C$301,A163)&gt;0)</f>
        <v/>
      </c>
      <c r="U163" s="8"/>
      <c r="V163" s="8"/>
    </row>
    <row r="164" customFormat="false" ht="15" hidden="false" customHeight="false" outlineLevel="0" collapsed="false">
      <c r="A164" s="13"/>
      <c r="B164" s="18"/>
      <c r="C164" s="15" t="str">
        <f aca="false">IF(B164="","",INT((B164-Settings!$B$2)/7)+1)</f>
        <v/>
      </c>
      <c r="D164" s="13"/>
      <c r="E164" s="15" t="str">
        <f aca="false">IF(A164="","",OR(D164=Settings!$B$3,AND(Settings!$B$4&lt;&gt;"",D164=Settings!$B$4)))</f>
        <v/>
      </c>
      <c r="F164" s="13"/>
      <c r="G164" s="13"/>
      <c r="H164" s="13"/>
      <c r="I164" s="13"/>
      <c r="J164" s="13"/>
      <c r="K164" s="18"/>
      <c r="L164" s="13"/>
      <c r="M164" s="15" t="str">
        <f aca="false">IF(A164="","",COUNTIFS(Quotes!$B$2:$B$301,A164,Quotes!$G$2:$G$301,"Y"))</f>
        <v/>
      </c>
      <c r="N164" s="17" t="str">
        <f aca="false">IF(A164="","",IF(M164=0,"",_xlfn.MINIFS(Quotes!$F$2:$F$301,Quotes!$B$2:$B$301,A164,Quotes!$G$2:$G$301,"Y")))</f>
        <v/>
      </c>
      <c r="O164" s="15" t="str">
        <f aca="false">IF(A164="","",AND(E164,G164="Y"))</f>
        <v/>
      </c>
      <c r="P164" s="17" t="str">
        <f aca="false">IF(A164="","",IF(AND(O164,N164&lt;&gt;""),N164,""))</f>
        <v/>
      </c>
      <c r="Q164" s="15" t="str">
        <f aca="false">IF(A164="","",COUNTIF(Picks!$A$2:$A$301,A164)&gt;0)</f>
        <v/>
      </c>
      <c r="R164" s="13"/>
      <c r="S164" s="13"/>
      <c r="T164" s="15" t="str">
        <f aca="false">IF(A164="","",COUNTIF(Nudges!$C$2:$C$301,A164)&gt;0)</f>
        <v/>
      </c>
      <c r="U164" s="8"/>
      <c r="V164" s="8"/>
    </row>
    <row r="165" customFormat="false" ht="15" hidden="false" customHeight="false" outlineLevel="0" collapsed="false">
      <c r="A165" s="13"/>
      <c r="B165" s="18"/>
      <c r="C165" s="15" t="str">
        <f aca="false">IF(B165="","",INT((B165-Settings!$B$2)/7)+1)</f>
        <v/>
      </c>
      <c r="D165" s="13"/>
      <c r="E165" s="15" t="str">
        <f aca="false">IF(A165="","",OR(D165=Settings!$B$3,AND(Settings!$B$4&lt;&gt;"",D165=Settings!$B$4)))</f>
        <v/>
      </c>
      <c r="F165" s="13"/>
      <c r="G165" s="13"/>
      <c r="H165" s="13"/>
      <c r="I165" s="13"/>
      <c r="J165" s="13"/>
      <c r="K165" s="18"/>
      <c r="L165" s="13"/>
      <c r="M165" s="15" t="str">
        <f aca="false">IF(A165="","",COUNTIFS(Quotes!$B$2:$B$301,A165,Quotes!$G$2:$G$301,"Y"))</f>
        <v/>
      </c>
      <c r="N165" s="17" t="str">
        <f aca="false">IF(A165="","",IF(M165=0,"",_xlfn.MINIFS(Quotes!$F$2:$F$301,Quotes!$B$2:$B$301,A165,Quotes!$G$2:$G$301,"Y")))</f>
        <v/>
      </c>
      <c r="O165" s="15" t="str">
        <f aca="false">IF(A165="","",AND(E165,G165="Y"))</f>
        <v/>
      </c>
      <c r="P165" s="17" t="str">
        <f aca="false">IF(A165="","",IF(AND(O165,N165&lt;&gt;""),N165,""))</f>
        <v/>
      </c>
      <c r="Q165" s="15" t="str">
        <f aca="false">IF(A165="","",COUNTIF(Picks!$A$2:$A$301,A165)&gt;0)</f>
        <v/>
      </c>
      <c r="R165" s="13"/>
      <c r="S165" s="13"/>
      <c r="T165" s="15" t="str">
        <f aca="false">IF(A165="","",COUNTIF(Nudges!$C$2:$C$301,A165)&gt;0)</f>
        <v/>
      </c>
      <c r="U165" s="8"/>
      <c r="V165" s="8"/>
    </row>
    <row r="166" customFormat="false" ht="15" hidden="false" customHeight="false" outlineLevel="0" collapsed="false">
      <c r="A166" s="13"/>
      <c r="B166" s="18"/>
      <c r="C166" s="15" t="str">
        <f aca="false">IF(B166="","",INT((B166-Settings!$B$2)/7)+1)</f>
        <v/>
      </c>
      <c r="D166" s="13"/>
      <c r="E166" s="15" t="str">
        <f aca="false">IF(A166="","",OR(D166=Settings!$B$3,AND(Settings!$B$4&lt;&gt;"",D166=Settings!$B$4)))</f>
        <v/>
      </c>
      <c r="F166" s="13"/>
      <c r="G166" s="13"/>
      <c r="H166" s="13"/>
      <c r="I166" s="13"/>
      <c r="J166" s="13"/>
      <c r="K166" s="18"/>
      <c r="L166" s="13"/>
      <c r="M166" s="15" t="str">
        <f aca="false">IF(A166="","",COUNTIFS(Quotes!$B$2:$B$301,A166,Quotes!$G$2:$G$301,"Y"))</f>
        <v/>
      </c>
      <c r="N166" s="17" t="str">
        <f aca="false">IF(A166="","",IF(M166=0,"",_xlfn.MINIFS(Quotes!$F$2:$F$301,Quotes!$B$2:$B$301,A166,Quotes!$G$2:$G$301,"Y")))</f>
        <v/>
      </c>
      <c r="O166" s="15" t="str">
        <f aca="false">IF(A166="","",AND(E166,G166="Y"))</f>
        <v/>
      </c>
      <c r="P166" s="17" t="str">
        <f aca="false">IF(A166="","",IF(AND(O166,N166&lt;&gt;""),N166,""))</f>
        <v/>
      </c>
      <c r="Q166" s="15" t="str">
        <f aca="false">IF(A166="","",COUNTIF(Picks!$A$2:$A$301,A166)&gt;0)</f>
        <v/>
      </c>
      <c r="R166" s="13"/>
      <c r="S166" s="13"/>
      <c r="T166" s="15" t="str">
        <f aca="false">IF(A166="","",COUNTIF(Nudges!$C$2:$C$301,A166)&gt;0)</f>
        <v/>
      </c>
      <c r="U166" s="8"/>
      <c r="V166" s="8"/>
    </row>
    <row r="167" customFormat="false" ht="15" hidden="false" customHeight="false" outlineLevel="0" collapsed="false">
      <c r="A167" s="13"/>
      <c r="B167" s="18"/>
      <c r="C167" s="15" t="str">
        <f aca="false">IF(B167="","",INT((B167-Settings!$B$2)/7)+1)</f>
        <v/>
      </c>
      <c r="D167" s="13"/>
      <c r="E167" s="15" t="str">
        <f aca="false">IF(A167="","",OR(D167=Settings!$B$3,AND(Settings!$B$4&lt;&gt;"",D167=Settings!$B$4)))</f>
        <v/>
      </c>
      <c r="F167" s="13"/>
      <c r="G167" s="13"/>
      <c r="H167" s="13"/>
      <c r="I167" s="13"/>
      <c r="J167" s="13"/>
      <c r="K167" s="18"/>
      <c r="L167" s="13"/>
      <c r="M167" s="15" t="str">
        <f aca="false">IF(A167="","",COUNTIFS(Quotes!$B$2:$B$301,A167,Quotes!$G$2:$G$301,"Y"))</f>
        <v/>
      </c>
      <c r="N167" s="17" t="str">
        <f aca="false">IF(A167="","",IF(M167=0,"",_xlfn.MINIFS(Quotes!$F$2:$F$301,Quotes!$B$2:$B$301,A167,Quotes!$G$2:$G$301,"Y")))</f>
        <v/>
      </c>
      <c r="O167" s="15" t="str">
        <f aca="false">IF(A167="","",AND(E167,G167="Y"))</f>
        <v/>
      </c>
      <c r="P167" s="17" t="str">
        <f aca="false">IF(A167="","",IF(AND(O167,N167&lt;&gt;""),N167,""))</f>
        <v/>
      </c>
      <c r="Q167" s="15" t="str">
        <f aca="false">IF(A167="","",COUNTIF(Picks!$A$2:$A$301,A167)&gt;0)</f>
        <v/>
      </c>
      <c r="R167" s="13"/>
      <c r="S167" s="13"/>
      <c r="T167" s="15" t="str">
        <f aca="false">IF(A167="","",COUNTIF(Nudges!$C$2:$C$301,A167)&gt;0)</f>
        <v/>
      </c>
      <c r="U167" s="8"/>
      <c r="V167" s="8"/>
    </row>
    <row r="168" customFormat="false" ht="15" hidden="false" customHeight="false" outlineLevel="0" collapsed="false">
      <c r="A168" s="13"/>
      <c r="B168" s="18"/>
      <c r="C168" s="15" t="str">
        <f aca="false">IF(B168="","",INT((B168-Settings!$B$2)/7)+1)</f>
        <v/>
      </c>
      <c r="D168" s="13"/>
      <c r="E168" s="15" t="str">
        <f aca="false">IF(A168="","",OR(D168=Settings!$B$3,AND(Settings!$B$4&lt;&gt;"",D168=Settings!$B$4)))</f>
        <v/>
      </c>
      <c r="F168" s="13"/>
      <c r="G168" s="13"/>
      <c r="H168" s="13"/>
      <c r="I168" s="13"/>
      <c r="J168" s="13"/>
      <c r="K168" s="18"/>
      <c r="L168" s="13"/>
      <c r="M168" s="15" t="str">
        <f aca="false">IF(A168="","",COUNTIFS(Quotes!$B$2:$B$301,A168,Quotes!$G$2:$G$301,"Y"))</f>
        <v/>
      </c>
      <c r="N168" s="17" t="str">
        <f aca="false">IF(A168="","",IF(M168=0,"",_xlfn.MINIFS(Quotes!$F$2:$F$301,Quotes!$B$2:$B$301,A168,Quotes!$G$2:$G$301,"Y")))</f>
        <v/>
      </c>
      <c r="O168" s="15" t="str">
        <f aca="false">IF(A168="","",AND(E168,G168="Y"))</f>
        <v/>
      </c>
      <c r="P168" s="17" t="str">
        <f aca="false">IF(A168="","",IF(AND(O168,N168&lt;&gt;""),N168,""))</f>
        <v/>
      </c>
      <c r="Q168" s="15" t="str">
        <f aca="false">IF(A168="","",COUNTIF(Picks!$A$2:$A$301,A168)&gt;0)</f>
        <v/>
      </c>
      <c r="R168" s="13"/>
      <c r="S168" s="13"/>
      <c r="T168" s="15" t="str">
        <f aca="false">IF(A168="","",COUNTIF(Nudges!$C$2:$C$301,A168)&gt;0)</f>
        <v/>
      </c>
      <c r="U168" s="8"/>
      <c r="V168" s="8"/>
    </row>
    <row r="169" customFormat="false" ht="15" hidden="false" customHeight="false" outlineLevel="0" collapsed="false">
      <c r="A169" s="13"/>
      <c r="B169" s="18"/>
      <c r="C169" s="15" t="str">
        <f aca="false">IF(B169="","",INT((B169-Settings!$B$2)/7)+1)</f>
        <v/>
      </c>
      <c r="D169" s="13"/>
      <c r="E169" s="15" t="str">
        <f aca="false">IF(A169="","",OR(D169=Settings!$B$3,AND(Settings!$B$4&lt;&gt;"",D169=Settings!$B$4)))</f>
        <v/>
      </c>
      <c r="F169" s="13"/>
      <c r="G169" s="13"/>
      <c r="H169" s="13"/>
      <c r="I169" s="13"/>
      <c r="J169" s="13"/>
      <c r="K169" s="18"/>
      <c r="L169" s="13"/>
      <c r="M169" s="15" t="str">
        <f aca="false">IF(A169="","",COUNTIFS(Quotes!$B$2:$B$301,A169,Quotes!$G$2:$G$301,"Y"))</f>
        <v/>
      </c>
      <c r="N169" s="17" t="str">
        <f aca="false">IF(A169="","",IF(M169=0,"",_xlfn.MINIFS(Quotes!$F$2:$F$301,Quotes!$B$2:$B$301,A169,Quotes!$G$2:$G$301,"Y")))</f>
        <v/>
      </c>
      <c r="O169" s="15" t="str">
        <f aca="false">IF(A169="","",AND(E169,G169="Y"))</f>
        <v/>
      </c>
      <c r="P169" s="17" t="str">
        <f aca="false">IF(A169="","",IF(AND(O169,N169&lt;&gt;""),N169,""))</f>
        <v/>
      </c>
      <c r="Q169" s="15" t="str">
        <f aca="false">IF(A169="","",COUNTIF(Picks!$A$2:$A$301,A169)&gt;0)</f>
        <v/>
      </c>
      <c r="R169" s="13"/>
      <c r="S169" s="13"/>
      <c r="T169" s="15" t="str">
        <f aca="false">IF(A169="","",COUNTIF(Nudges!$C$2:$C$301,A169)&gt;0)</f>
        <v/>
      </c>
      <c r="U169" s="8"/>
      <c r="V169" s="8"/>
    </row>
    <row r="170" customFormat="false" ht="15" hidden="false" customHeight="false" outlineLevel="0" collapsed="false">
      <c r="A170" s="13"/>
      <c r="B170" s="18"/>
      <c r="C170" s="15" t="str">
        <f aca="false">IF(B170="","",INT((B170-Settings!$B$2)/7)+1)</f>
        <v/>
      </c>
      <c r="D170" s="13"/>
      <c r="E170" s="15" t="str">
        <f aca="false">IF(A170="","",OR(D170=Settings!$B$3,AND(Settings!$B$4&lt;&gt;"",D170=Settings!$B$4)))</f>
        <v/>
      </c>
      <c r="F170" s="13"/>
      <c r="G170" s="13"/>
      <c r="H170" s="13"/>
      <c r="I170" s="13"/>
      <c r="J170" s="13"/>
      <c r="K170" s="18"/>
      <c r="L170" s="13"/>
      <c r="M170" s="15" t="str">
        <f aca="false">IF(A170="","",COUNTIFS(Quotes!$B$2:$B$301,A170,Quotes!$G$2:$G$301,"Y"))</f>
        <v/>
      </c>
      <c r="N170" s="17" t="str">
        <f aca="false">IF(A170="","",IF(M170=0,"",_xlfn.MINIFS(Quotes!$F$2:$F$301,Quotes!$B$2:$B$301,A170,Quotes!$G$2:$G$301,"Y")))</f>
        <v/>
      </c>
      <c r="O170" s="15" t="str">
        <f aca="false">IF(A170="","",AND(E170,G170="Y"))</f>
        <v/>
      </c>
      <c r="P170" s="17" t="str">
        <f aca="false">IF(A170="","",IF(AND(O170,N170&lt;&gt;""),N170,""))</f>
        <v/>
      </c>
      <c r="Q170" s="15" t="str">
        <f aca="false">IF(A170="","",COUNTIF(Picks!$A$2:$A$301,A170)&gt;0)</f>
        <v/>
      </c>
      <c r="R170" s="13"/>
      <c r="S170" s="13"/>
      <c r="T170" s="15" t="str">
        <f aca="false">IF(A170="","",COUNTIF(Nudges!$C$2:$C$301,A170)&gt;0)</f>
        <v/>
      </c>
      <c r="U170" s="8"/>
      <c r="V170" s="8"/>
    </row>
    <row r="171" customFormat="false" ht="15" hidden="false" customHeight="false" outlineLevel="0" collapsed="false">
      <c r="A171" s="13"/>
      <c r="B171" s="18"/>
      <c r="C171" s="15" t="str">
        <f aca="false">IF(B171="","",INT((B171-Settings!$B$2)/7)+1)</f>
        <v/>
      </c>
      <c r="D171" s="13"/>
      <c r="E171" s="15" t="str">
        <f aca="false">IF(A171="","",OR(D171=Settings!$B$3,AND(Settings!$B$4&lt;&gt;"",D171=Settings!$B$4)))</f>
        <v/>
      </c>
      <c r="F171" s="13"/>
      <c r="G171" s="13"/>
      <c r="H171" s="13"/>
      <c r="I171" s="13"/>
      <c r="J171" s="13"/>
      <c r="K171" s="18"/>
      <c r="L171" s="13"/>
      <c r="M171" s="15" t="str">
        <f aca="false">IF(A171="","",COUNTIFS(Quotes!$B$2:$B$301,A171,Quotes!$G$2:$G$301,"Y"))</f>
        <v/>
      </c>
      <c r="N171" s="17" t="str">
        <f aca="false">IF(A171="","",IF(M171=0,"",_xlfn.MINIFS(Quotes!$F$2:$F$301,Quotes!$B$2:$B$301,A171,Quotes!$G$2:$G$301,"Y")))</f>
        <v/>
      </c>
      <c r="O171" s="15" t="str">
        <f aca="false">IF(A171="","",AND(E171,G171="Y"))</f>
        <v/>
      </c>
      <c r="P171" s="17" t="str">
        <f aca="false">IF(A171="","",IF(AND(O171,N171&lt;&gt;""),N171,""))</f>
        <v/>
      </c>
      <c r="Q171" s="15" t="str">
        <f aca="false">IF(A171="","",COUNTIF(Picks!$A$2:$A$301,A171)&gt;0)</f>
        <v/>
      </c>
      <c r="R171" s="13"/>
      <c r="S171" s="13"/>
      <c r="T171" s="15" t="str">
        <f aca="false">IF(A171="","",COUNTIF(Nudges!$C$2:$C$301,A171)&gt;0)</f>
        <v/>
      </c>
      <c r="U171" s="8"/>
      <c r="V171" s="8"/>
    </row>
    <row r="172" customFormat="false" ht="15" hidden="false" customHeight="false" outlineLevel="0" collapsed="false">
      <c r="A172" s="13"/>
      <c r="B172" s="18"/>
      <c r="C172" s="15" t="str">
        <f aca="false">IF(B172="","",INT((B172-Settings!$B$2)/7)+1)</f>
        <v/>
      </c>
      <c r="D172" s="13"/>
      <c r="E172" s="15" t="str">
        <f aca="false">IF(A172="","",OR(D172=Settings!$B$3,AND(Settings!$B$4&lt;&gt;"",D172=Settings!$B$4)))</f>
        <v/>
      </c>
      <c r="F172" s="13"/>
      <c r="G172" s="13"/>
      <c r="H172" s="13"/>
      <c r="I172" s="13"/>
      <c r="J172" s="13"/>
      <c r="K172" s="18"/>
      <c r="L172" s="13"/>
      <c r="M172" s="15" t="str">
        <f aca="false">IF(A172="","",COUNTIFS(Quotes!$B$2:$B$301,A172,Quotes!$G$2:$G$301,"Y"))</f>
        <v/>
      </c>
      <c r="N172" s="17" t="str">
        <f aca="false">IF(A172="","",IF(M172=0,"",_xlfn.MINIFS(Quotes!$F$2:$F$301,Quotes!$B$2:$B$301,A172,Quotes!$G$2:$G$301,"Y")))</f>
        <v/>
      </c>
      <c r="O172" s="15" t="str">
        <f aca="false">IF(A172="","",AND(E172,G172="Y"))</f>
        <v/>
      </c>
      <c r="P172" s="17" t="str">
        <f aca="false">IF(A172="","",IF(AND(O172,N172&lt;&gt;""),N172,""))</f>
        <v/>
      </c>
      <c r="Q172" s="15" t="str">
        <f aca="false">IF(A172="","",COUNTIF(Picks!$A$2:$A$301,A172)&gt;0)</f>
        <v/>
      </c>
      <c r="R172" s="13"/>
      <c r="S172" s="13"/>
      <c r="T172" s="15" t="str">
        <f aca="false">IF(A172="","",COUNTIF(Nudges!$C$2:$C$301,A172)&gt;0)</f>
        <v/>
      </c>
      <c r="U172" s="8"/>
      <c r="V172" s="8"/>
    </row>
    <row r="173" customFormat="false" ht="15" hidden="false" customHeight="false" outlineLevel="0" collapsed="false">
      <c r="A173" s="13"/>
      <c r="B173" s="18"/>
      <c r="C173" s="15" t="str">
        <f aca="false">IF(B173="","",INT((B173-Settings!$B$2)/7)+1)</f>
        <v/>
      </c>
      <c r="D173" s="13"/>
      <c r="E173" s="15" t="str">
        <f aca="false">IF(A173="","",OR(D173=Settings!$B$3,AND(Settings!$B$4&lt;&gt;"",D173=Settings!$B$4)))</f>
        <v/>
      </c>
      <c r="F173" s="13"/>
      <c r="G173" s="13"/>
      <c r="H173" s="13"/>
      <c r="I173" s="13"/>
      <c r="J173" s="13"/>
      <c r="K173" s="18"/>
      <c r="L173" s="13"/>
      <c r="M173" s="15" t="str">
        <f aca="false">IF(A173="","",COUNTIFS(Quotes!$B$2:$B$301,A173,Quotes!$G$2:$G$301,"Y"))</f>
        <v/>
      </c>
      <c r="N173" s="17" t="str">
        <f aca="false">IF(A173="","",IF(M173=0,"",_xlfn.MINIFS(Quotes!$F$2:$F$301,Quotes!$B$2:$B$301,A173,Quotes!$G$2:$G$301,"Y")))</f>
        <v/>
      </c>
      <c r="O173" s="15" t="str">
        <f aca="false">IF(A173="","",AND(E173,G173="Y"))</f>
        <v/>
      </c>
      <c r="P173" s="17" t="str">
        <f aca="false">IF(A173="","",IF(AND(O173,N173&lt;&gt;""),N173,""))</f>
        <v/>
      </c>
      <c r="Q173" s="15" t="str">
        <f aca="false">IF(A173="","",COUNTIF(Picks!$A$2:$A$301,A173)&gt;0)</f>
        <v/>
      </c>
      <c r="R173" s="13"/>
      <c r="S173" s="13"/>
      <c r="T173" s="15" t="str">
        <f aca="false">IF(A173="","",COUNTIF(Nudges!$C$2:$C$301,A173)&gt;0)</f>
        <v/>
      </c>
      <c r="U173" s="8"/>
      <c r="V173" s="8"/>
    </row>
    <row r="174" customFormat="false" ht="15" hidden="false" customHeight="false" outlineLevel="0" collapsed="false">
      <c r="A174" s="13"/>
      <c r="B174" s="18"/>
      <c r="C174" s="15" t="str">
        <f aca="false">IF(B174="","",INT((B174-Settings!$B$2)/7)+1)</f>
        <v/>
      </c>
      <c r="D174" s="13"/>
      <c r="E174" s="15" t="str">
        <f aca="false">IF(A174="","",OR(D174=Settings!$B$3,AND(Settings!$B$4&lt;&gt;"",D174=Settings!$B$4)))</f>
        <v/>
      </c>
      <c r="F174" s="13"/>
      <c r="G174" s="13"/>
      <c r="H174" s="13"/>
      <c r="I174" s="13"/>
      <c r="J174" s="13"/>
      <c r="K174" s="18"/>
      <c r="L174" s="13"/>
      <c r="M174" s="15" t="str">
        <f aca="false">IF(A174="","",COUNTIFS(Quotes!$B$2:$B$301,A174,Quotes!$G$2:$G$301,"Y"))</f>
        <v/>
      </c>
      <c r="N174" s="17" t="str">
        <f aca="false">IF(A174="","",IF(M174=0,"",_xlfn.MINIFS(Quotes!$F$2:$F$301,Quotes!$B$2:$B$301,A174,Quotes!$G$2:$G$301,"Y")))</f>
        <v/>
      </c>
      <c r="O174" s="15" t="str">
        <f aca="false">IF(A174="","",AND(E174,G174="Y"))</f>
        <v/>
      </c>
      <c r="P174" s="17" t="str">
        <f aca="false">IF(A174="","",IF(AND(O174,N174&lt;&gt;""),N174,""))</f>
        <v/>
      </c>
      <c r="Q174" s="15" t="str">
        <f aca="false">IF(A174="","",COUNTIF(Picks!$A$2:$A$301,A174)&gt;0)</f>
        <v/>
      </c>
      <c r="R174" s="13"/>
      <c r="S174" s="13"/>
      <c r="T174" s="15" t="str">
        <f aca="false">IF(A174="","",COUNTIF(Nudges!$C$2:$C$301,A174)&gt;0)</f>
        <v/>
      </c>
      <c r="U174" s="8"/>
      <c r="V174" s="8"/>
    </row>
    <row r="175" customFormat="false" ht="15" hidden="false" customHeight="false" outlineLevel="0" collapsed="false">
      <c r="A175" s="13"/>
      <c r="B175" s="18"/>
      <c r="C175" s="15" t="str">
        <f aca="false">IF(B175="","",INT((B175-Settings!$B$2)/7)+1)</f>
        <v/>
      </c>
      <c r="D175" s="13"/>
      <c r="E175" s="15" t="str">
        <f aca="false">IF(A175="","",OR(D175=Settings!$B$3,AND(Settings!$B$4&lt;&gt;"",D175=Settings!$B$4)))</f>
        <v/>
      </c>
      <c r="F175" s="13"/>
      <c r="G175" s="13"/>
      <c r="H175" s="13"/>
      <c r="I175" s="13"/>
      <c r="J175" s="13"/>
      <c r="K175" s="18"/>
      <c r="L175" s="13"/>
      <c r="M175" s="15" t="str">
        <f aca="false">IF(A175="","",COUNTIFS(Quotes!$B$2:$B$301,A175,Quotes!$G$2:$G$301,"Y"))</f>
        <v/>
      </c>
      <c r="N175" s="17" t="str">
        <f aca="false">IF(A175="","",IF(M175=0,"",_xlfn.MINIFS(Quotes!$F$2:$F$301,Quotes!$B$2:$B$301,A175,Quotes!$G$2:$G$301,"Y")))</f>
        <v/>
      </c>
      <c r="O175" s="15" t="str">
        <f aca="false">IF(A175="","",AND(E175,G175="Y"))</f>
        <v/>
      </c>
      <c r="P175" s="17" t="str">
        <f aca="false">IF(A175="","",IF(AND(O175,N175&lt;&gt;""),N175,""))</f>
        <v/>
      </c>
      <c r="Q175" s="15" t="str">
        <f aca="false">IF(A175="","",COUNTIF(Picks!$A$2:$A$301,A175)&gt;0)</f>
        <v/>
      </c>
      <c r="R175" s="13"/>
      <c r="S175" s="13"/>
      <c r="T175" s="15" t="str">
        <f aca="false">IF(A175="","",COUNTIF(Nudges!$C$2:$C$301,A175)&gt;0)</f>
        <v/>
      </c>
      <c r="U175" s="8"/>
      <c r="V175" s="8"/>
    </row>
    <row r="176" customFormat="false" ht="15" hidden="false" customHeight="false" outlineLevel="0" collapsed="false">
      <c r="A176" s="13"/>
      <c r="B176" s="18"/>
      <c r="C176" s="15" t="str">
        <f aca="false">IF(B176="","",INT((B176-Settings!$B$2)/7)+1)</f>
        <v/>
      </c>
      <c r="D176" s="13"/>
      <c r="E176" s="15" t="str">
        <f aca="false">IF(A176="","",OR(D176=Settings!$B$3,AND(Settings!$B$4&lt;&gt;"",D176=Settings!$B$4)))</f>
        <v/>
      </c>
      <c r="F176" s="13"/>
      <c r="G176" s="13"/>
      <c r="H176" s="13"/>
      <c r="I176" s="13"/>
      <c r="J176" s="13"/>
      <c r="K176" s="18"/>
      <c r="L176" s="13"/>
      <c r="M176" s="15" t="str">
        <f aca="false">IF(A176="","",COUNTIFS(Quotes!$B$2:$B$301,A176,Quotes!$G$2:$G$301,"Y"))</f>
        <v/>
      </c>
      <c r="N176" s="17" t="str">
        <f aca="false">IF(A176="","",IF(M176=0,"",_xlfn.MINIFS(Quotes!$F$2:$F$301,Quotes!$B$2:$B$301,A176,Quotes!$G$2:$G$301,"Y")))</f>
        <v/>
      </c>
      <c r="O176" s="15" t="str">
        <f aca="false">IF(A176="","",AND(E176,G176="Y"))</f>
        <v/>
      </c>
      <c r="P176" s="17" t="str">
        <f aca="false">IF(A176="","",IF(AND(O176,N176&lt;&gt;""),N176,""))</f>
        <v/>
      </c>
      <c r="Q176" s="15" t="str">
        <f aca="false">IF(A176="","",COUNTIF(Picks!$A$2:$A$301,A176)&gt;0)</f>
        <v/>
      </c>
      <c r="R176" s="13"/>
      <c r="S176" s="13"/>
      <c r="T176" s="15" t="str">
        <f aca="false">IF(A176="","",COUNTIF(Nudges!$C$2:$C$301,A176)&gt;0)</f>
        <v/>
      </c>
      <c r="U176" s="8"/>
      <c r="V176" s="8"/>
    </row>
    <row r="177" customFormat="false" ht="15" hidden="false" customHeight="false" outlineLevel="0" collapsed="false">
      <c r="A177" s="13"/>
      <c r="B177" s="18"/>
      <c r="C177" s="15" t="str">
        <f aca="false">IF(B177="","",INT((B177-Settings!$B$2)/7)+1)</f>
        <v/>
      </c>
      <c r="D177" s="13"/>
      <c r="E177" s="15" t="str">
        <f aca="false">IF(A177="","",OR(D177=Settings!$B$3,AND(Settings!$B$4&lt;&gt;"",D177=Settings!$B$4)))</f>
        <v/>
      </c>
      <c r="F177" s="13"/>
      <c r="G177" s="13"/>
      <c r="H177" s="13"/>
      <c r="I177" s="13"/>
      <c r="J177" s="13"/>
      <c r="K177" s="18"/>
      <c r="L177" s="13"/>
      <c r="M177" s="15" t="str">
        <f aca="false">IF(A177="","",COUNTIFS(Quotes!$B$2:$B$301,A177,Quotes!$G$2:$G$301,"Y"))</f>
        <v/>
      </c>
      <c r="N177" s="17" t="str">
        <f aca="false">IF(A177="","",IF(M177=0,"",_xlfn.MINIFS(Quotes!$F$2:$F$301,Quotes!$B$2:$B$301,A177,Quotes!$G$2:$G$301,"Y")))</f>
        <v/>
      </c>
      <c r="O177" s="15" t="str">
        <f aca="false">IF(A177="","",AND(E177,G177="Y"))</f>
        <v/>
      </c>
      <c r="P177" s="17" t="str">
        <f aca="false">IF(A177="","",IF(AND(O177,N177&lt;&gt;""),N177,""))</f>
        <v/>
      </c>
      <c r="Q177" s="15" t="str">
        <f aca="false">IF(A177="","",COUNTIF(Picks!$A$2:$A$301,A177)&gt;0)</f>
        <v/>
      </c>
      <c r="R177" s="13"/>
      <c r="S177" s="13"/>
      <c r="T177" s="15" t="str">
        <f aca="false">IF(A177="","",COUNTIF(Nudges!$C$2:$C$301,A177)&gt;0)</f>
        <v/>
      </c>
      <c r="U177" s="8"/>
      <c r="V177" s="8"/>
    </row>
    <row r="178" customFormat="false" ht="15" hidden="false" customHeight="false" outlineLevel="0" collapsed="false">
      <c r="A178" s="13"/>
      <c r="B178" s="18"/>
      <c r="C178" s="15" t="str">
        <f aca="false">IF(B178="","",INT((B178-Settings!$B$2)/7)+1)</f>
        <v/>
      </c>
      <c r="D178" s="13"/>
      <c r="E178" s="15" t="str">
        <f aca="false">IF(A178="","",OR(D178=Settings!$B$3,AND(Settings!$B$4&lt;&gt;"",D178=Settings!$B$4)))</f>
        <v/>
      </c>
      <c r="F178" s="13"/>
      <c r="G178" s="13"/>
      <c r="H178" s="13"/>
      <c r="I178" s="13"/>
      <c r="J178" s="13"/>
      <c r="K178" s="18"/>
      <c r="L178" s="13"/>
      <c r="M178" s="15" t="str">
        <f aca="false">IF(A178="","",COUNTIFS(Quotes!$B$2:$B$301,A178,Quotes!$G$2:$G$301,"Y"))</f>
        <v/>
      </c>
      <c r="N178" s="17" t="str">
        <f aca="false">IF(A178="","",IF(M178=0,"",_xlfn.MINIFS(Quotes!$F$2:$F$301,Quotes!$B$2:$B$301,A178,Quotes!$G$2:$G$301,"Y")))</f>
        <v/>
      </c>
      <c r="O178" s="15" t="str">
        <f aca="false">IF(A178="","",AND(E178,G178="Y"))</f>
        <v/>
      </c>
      <c r="P178" s="17" t="str">
        <f aca="false">IF(A178="","",IF(AND(O178,N178&lt;&gt;""),N178,""))</f>
        <v/>
      </c>
      <c r="Q178" s="15" t="str">
        <f aca="false">IF(A178="","",COUNTIF(Picks!$A$2:$A$301,A178)&gt;0)</f>
        <v/>
      </c>
      <c r="R178" s="13"/>
      <c r="S178" s="13"/>
      <c r="T178" s="15" t="str">
        <f aca="false">IF(A178="","",COUNTIF(Nudges!$C$2:$C$301,A178)&gt;0)</f>
        <v/>
      </c>
      <c r="U178" s="8"/>
      <c r="V178" s="8"/>
    </row>
    <row r="179" customFormat="false" ht="15" hidden="false" customHeight="false" outlineLevel="0" collapsed="false">
      <c r="A179" s="13"/>
      <c r="B179" s="18"/>
      <c r="C179" s="15" t="str">
        <f aca="false">IF(B179="","",INT((B179-Settings!$B$2)/7)+1)</f>
        <v/>
      </c>
      <c r="D179" s="13"/>
      <c r="E179" s="15" t="str">
        <f aca="false">IF(A179="","",OR(D179=Settings!$B$3,AND(Settings!$B$4&lt;&gt;"",D179=Settings!$B$4)))</f>
        <v/>
      </c>
      <c r="F179" s="13"/>
      <c r="G179" s="13"/>
      <c r="H179" s="13"/>
      <c r="I179" s="13"/>
      <c r="J179" s="13"/>
      <c r="K179" s="18"/>
      <c r="L179" s="13"/>
      <c r="M179" s="15" t="str">
        <f aca="false">IF(A179="","",COUNTIFS(Quotes!$B$2:$B$301,A179,Quotes!$G$2:$G$301,"Y"))</f>
        <v/>
      </c>
      <c r="N179" s="17" t="str">
        <f aca="false">IF(A179="","",IF(M179=0,"",_xlfn.MINIFS(Quotes!$F$2:$F$301,Quotes!$B$2:$B$301,A179,Quotes!$G$2:$G$301,"Y")))</f>
        <v/>
      </c>
      <c r="O179" s="15" t="str">
        <f aca="false">IF(A179="","",AND(E179,G179="Y"))</f>
        <v/>
      </c>
      <c r="P179" s="17" t="str">
        <f aca="false">IF(A179="","",IF(AND(O179,N179&lt;&gt;""),N179,""))</f>
        <v/>
      </c>
      <c r="Q179" s="15" t="str">
        <f aca="false">IF(A179="","",COUNTIF(Picks!$A$2:$A$301,A179)&gt;0)</f>
        <v/>
      </c>
      <c r="R179" s="13"/>
      <c r="S179" s="13"/>
      <c r="T179" s="15" t="str">
        <f aca="false">IF(A179="","",COUNTIF(Nudges!$C$2:$C$301,A179)&gt;0)</f>
        <v/>
      </c>
      <c r="U179" s="8"/>
      <c r="V179" s="8"/>
    </row>
    <row r="180" customFormat="false" ht="15" hidden="false" customHeight="false" outlineLevel="0" collapsed="false">
      <c r="A180" s="13"/>
      <c r="B180" s="18"/>
      <c r="C180" s="15" t="str">
        <f aca="false">IF(B180="","",INT((B180-Settings!$B$2)/7)+1)</f>
        <v/>
      </c>
      <c r="D180" s="13"/>
      <c r="E180" s="15" t="str">
        <f aca="false">IF(A180="","",OR(D180=Settings!$B$3,AND(Settings!$B$4&lt;&gt;"",D180=Settings!$B$4)))</f>
        <v/>
      </c>
      <c r="F180" s="13"/>
      <c r="G180" s="13"/>
      <c r="H180" s="13"/>
      <c r="I180" s="13"/>
      <c r="J180" s="13"/>
      <c r="K180" s="18"/>
      <c r="L180" s="13"/>
      <c r="M180" s="15" t="str">
        <f aca="false">IF(A180="","",COUNTIFS(Quotes!$B$2:$B$301,A180,Quotes!$G$2:$G$301,"Y"))</f>
        <v/>
      </c>
      <c r="N180" s="17" t="str">
        <f aca="false">IF(A180="","",IF(M180=0,"",_xlfn.MINIFS(Quotes!$F$2:$F$301,Quotes!$B$2:$B$301,A180,Quotes!$G$2:$G$301,"Y")))</f>
        <v/>
      </c>
      <c r="O180" s="15" t="str">
        <f aca="false">IF(A180="","",AND(E180,G180="Y"))</f>
        <v/>
      </c>
      <c r="P180" s="17" t="str">
        <f aca="false">IF(A180="","",IF(AND(O180,N180&lt;&gt;""),N180,""))</f>
        <v/>
      </c>
      <c r="Q180" s="15" t="str">
        <f aca="false">IF(A180="","",COUNTIF(Picks!$A$2:$A$301,A180)&gt;0)</f>
        <v/>
      </c>
      <c r="R180" s="13"/>
      <c r="S180" s="13"/>
      <c r="T180" s="15" t="str">
        <f aca="false">IF(A180="","",COUNTIF(Nudges!$C$2:$C$301,A180)&gt;0)</f>
        <v/>
      </c>
      <c r="U180" s="8"/>
      <c r="V180" s="8"/>
    </row>
    <row r="181" customFormat="false" ht="15" hidden="false" customHeight="false" outlineLevel="0" collapsed="false">
      <c r="A181" s="13"/>
      <c r="B181" s="18"/>
      <c r="C181" s="15" t="str">
        <f aca="false">IF(B181="","",INT((B181-Settings!$B$2)/7)+1)</f>
        <v/>
      </c>
      <c r="D181" s="13"/>
      <c r="E181" s="15" t="str">
        <f aca="false">IF(A181="","",OR(D181=Settings!$B$3,AND(Settings!$B$4&lt;&gt;"",D181=Settings!$B$4)))</f>
        <v/>
      </c>
      <c r="F181" s="13"/>
      <c r="G181" s="13"/>
      <c r="H181" s="13"/>
      <c r="I181" s="13"/>
      <c r="J181" s="13"/>
      <c r="K181" s="18"/>
      <c r="L181" s="13"/>
      <c r="M181" s="15" t="str">
        <f aca="false">IF(A181="","",COUNTIFS(Quotes!$B$2:$B$301,A181,Quotes!$G$2:$G$301,"Y"))</f>
        <v/>
      </c>
      <c r="N181" s="17" t="str">
        <f aca="false">IF(A181="","",IF(M181=0,"",_xlfn.MINIFS(Quotes!$F$2:$F$301,Quotes!$B$2:$B$301,A181,Quotes!$G$2:$G$301,"Y")))</f>
        <v/>
      </c>
      <c r="O181" s="15" t="str">
        <f aca="false">IF(A181="","",AND(E181,G181="Y"))</f>
        <v/>
      </c>
      <c r="P181" s="17" t="str">
        <f aca="false">IF(A181="","",IF(AND(O181,N181&lt;&gt;""),N181,""))</f>
        <v/>
      </c>
      <c r="Q181" s="15" t="str">
        <f aca="false">IF(A181="","",COUNTIF(Picks!$A$2:$A$301,A181)&gt;0)</f>
        <v/>
      </c>
      <c r="R181" s="13"/>
      <c r="S181" s="13"/>
      <c r="T181" s="15" t="str">
        <f aca="false">IF(A181="","",COUNTIF(Nudges!$C$2:$C$301,A181)&gt;0)</f>
        <v/>
      </c>
      <c r="U181" s="8"/>
      <c r="V181" s="8"/>
    </row>
    <row r="182" customFormat="false" ht="15" hidden="false" customHeight="false" outlineLevel="0" collapsed="false">
      <c r="A182" s="13"/>
      <c r="B182" s="18"/>
      <c r="C182" s="15" t="str">
        <f aca="false">IF(B182="","",INT((B182-Settings!$B$2)/7)+1)</f>
        <v/>
      </c>
      <c r="D182" s="13"/>
      <c r="E182" s="15" t="str">
        <f aca="false">IF(A182="","",OR(D182=Settings!$B$3,AND(Settings!$B$4&lt;&gt;"",D182=Settings!$B$4)))</f>
        <v/>
      </c>
      <c r="F182" s="13"/>
      <c r="G182" s="13"/>
      <c r="H182" s="13"/>
      <c r="I182" s="13"/>
      <c r="J182" s="13"/>
      <c r="K182" s="18"/>
      <c r="L182" s="13"/>
      <c r="M182" s="15" t="str">
        <f aca="false">IF(A182="","",COUNTIFS(Quotes!$B$2:$B$301,A182,Quotes!$G$2:$G$301,"Y"))</f>
        <v/>
      </c>
      <c r="N182" s="17" t="str">
        <f aca="false">IF(A182="","",IF(M182=0,"",_xlfn.MINIFS(Quotes!$F$2:$F$301,Quotes!$B$2:$B$301,A182,Quotes!$G$2:$G$301,"Y")))</f>
        <v/>
      </c>
      <c r="O182" s="15" t="str">
        <f aca="false">IF(A182="","",AND(E182,G182="Y"))</f>
        <v/>
      </c>
      <c r="P182" s="17" t="str">
        <f aca="false">IF(A182="","",IF(AND(O182,N182&lt;&gt;""),N182,""))</f>
        <v/>
      </c>
      <c r="Q182" s="15" t="str">
        <f aca="false">IF(A182="","",COUNTIF(Picks!$A$2:$A$301,A182)&gt;0)</f>
        <v/>
      </c>
      <c r="R182" s="13"/>
      <c r="S182" s="13"/>
      <c r="T182" s="15" t="str">
        <f aca="false">IF(A182="","",COUNTIF(Nudges!$C$2:$C$301,A182)&gt;0)</f>
        <v/>
      </c>
      <c r="U182" s="8"/>
      <c r="V182" s="8"/>
    </row>
    <row r="183" customFormat="false" ht="15" hidden="false" customHeight="false" outlineLevel="0" collapsed="false">
      <c r="A183" s="13"/>
      <c r="B183" s="18"/>
      <c r="C183" s="15" t="str">
        <f aca="false">IF(B183="","",INT((B183-Settings!$B$2)/7)+1)</f>
        <v/>
      </c>
      <c r="D183" s="13"/>
      <c r="E183" s="15" t="str">
        <f aca="false">IF(A183="","",OR(D183=Settings!$B$3,AND(Settings!$B$4&lt;&gt;"",D183=Settings!$B$4)))</f>
        <v/>
      </c>
      <c r="F183" s="13"/>
      <c r="G183" s="13"/>
      <c r="H183" s="13"/>
      <c r="I183" s="13"/>
      <c r="J183" s="13"/>
      <c r="K183" s="18"/>
      <c r="L183" s="13"/>
      <c r="M183" s="15" t="str">
        <f aca="false">IF(A183="","",COUNTIFS(Quotes!$B$2:$B$301,A183,Quotes!$G$2:$G$301,"Y"))</f>
        <v/>
      </c>
      <c r="N183" s="17" t="str">
        <f aca="false">IF(A183="","",IF(M183=0,"",_xlfn.MINIFS(Quotes!$F$2:$F$301,Quotes!$B$2:$B$301,A183,Quotes!$G$2:$G$301,"Y")))</f>
        <v/>
      </c>
      <c r="O183" s="15" t="str">
        <f aca="false">IF(A183="","",AND(E183,G183="Y"))</f>
        <v/>
      </c>
      <c r="P183" s="17" t="str">
        <f aca="false">IF(A183="","",IF(AND(O183,N183&lt;&gt;""),N183,""))</f>
        <v/>
      </c>
      <c r="Q183" s="15" t="str">
        <f aca="false">IF(A183="","",COUNTIF(Picks!$A$2:$A$301,A183)&gt;0)</f>
        <v/>
      </c>
      <c r="R183" s="13"/>
      <c r="S183" s="13"/>
      <c r="T183" s="15" t="str">
        <f aca="false">IF(A183="","",COUNTIF(Nudges!$C$2:$C$301,A183)&gt;0)</f>
        <v/>
      </c>
      <c r="U183" s="8"/>
      <c r="V183" s="8"/>
    </row>
    <row r="184" customFormat="false" ht="15" hidden="false" customHeight="false" outlineLevel="0" collapsed="false">
      <c r="A184" s="13"/>
      <c r="B184" s="18"/>
      <c r="C184" s="15" t="str">
        <f aca="false">IF(B184="","",INT((B184-Settings!$B$2)/7)+1)</f>
        <v/>
      </c>
      <c r="D184" s="13"/>
      <c r="E184" s="15" t="str">
        <f aca="false">IF(A184="","",OR(D184=Settings!$B$3,AND(Settings!$B$4&lt;&gt;"",D184=Settings!$B$4)))</f>
        <v/>
      </c>
      <c r="F184" s="13"/>
      <c r="G184" s="13"/>
      <c r="H184" s="13"/>
      <c r="I184" s="13"/>
      <c r="J184" s="13"/>
      <c r="K184" s="18"/>
      <c r="L184" s="13"/>
      <c r="M184" s="15" t="str">
        <f aca="false">IF(A184="","",COUNTIFS(Quotes!$B$2:$B$301,A184,Quotes!$G$2:$G$301,"Y"))</f>
        <v/>
      </c>
      <c r="N184" s="17" t="str">
        <f aca="false">IF(A184="","",IF(M184=0,"",_xlfn.MINIFS(Quotes!$F$2:$F$301,Quotes!$B$2:$B$301,A184,Quotes!$G$2:$G$301,"Y")))</f>
        <v/>
      </c>
      <c r="O184" s="15" t="str">
        <f aca="false">IF(A184="","",AND(E184,G184="Y"))</f>
        <v/>
      </c>
      <c r="P184" s="17" t="str">
        <f aca="false">IF(A184="","",IF(AND(O184,N184&lt;&gt;""),N184,""))</f>
        <v/>
      </c>
      <c r="Q184" s="15" t="str">
        <f aca="false">IF(A184="","",COUNTIF(Picks!$A$2:$A$301,A184)&gt;0)</f>
        <v/>
      </c>
      <c r="R184" s="13"/>
      <c r="S184" s="13"/>
      <c r="T184" s="15" t="str">
        <f aca="false">IF(A184="","",COUNTIF(Nudges!$C$2:$C$301,A184)&gt;0)</f>
        <v/>
      </c>
      <c r="U184" s="8"/>
      <c r="V184" s="8"/>
    </row>
    <row r="185" customFormat="false" ht="15" hidden="false" customHeight="false" outlineLevel="0" collapsed="false">
      <c r="A185" s="13"/>
      <c r="B185" s="18"/>
      <c r="C185" s="15" t="str">
        <f aca="false">IF(B185="","",INT((B185-Settings!$B$2)/7)+1)</f>
        <v/>
      </c>
      <c r="D185" s="13"/>
      <c r="E185" s="15" t="str">
        <f aca="false">IF(A185="","",OR(D185=Settings!$B$3,AND(Settings!$B$4&lt;&gt;"",D185=Settings!$B$4)))</f>
        <v/>
      </c>
      <c r="F185" s="13"/>
      <c r="G185" s="13"/>
      <c r="H185" s="13"/>
      <c r="I185" s="13"/>
      <c r="J185" s="13"/>
      <c r="K185" s="18"/>
      <c r="L185" s="13"/>
      <c r="M185" s="15" t="str">
        <f aca="false">IF(A185="","",COUNTIFS(Quotes!$B$2:$B$301,A185,Quotes!$G$2:$G$301,"Y"))</f>
        <v/>
      </c>
      <c r="N185" s="17" t="str">
        <f aca="false">IF(A185="","",IF(M185=0,"",_xlfn.MINIFS(Quotes!$F$2:$F$301,Quotes!$B$2:$B$301,A185,Quotes!$G$2:$G$301,"Y")))</f>
        <v/>
      </c>
      <c r="O185" s="15" t="str">
        <f aca="false">IF(A185="","",AND(E185,G185="Y"))</f>
        <v/>
      </c>
      <c r="P185" s="17" t="str">
        <f aca="false">IF(A185="","",IF(AND(O185,N185&lt;&gt;""),N185,""))</f>
        <v/>
      </c>
      <c r="Q185" s="15" t="str">
        <f aca="false">IF(A185="","",COUNTIF(Picks!$A$2:$A$301,A185)&gt;0)</f>
        <v/>
      </c>
      <c r="R185" s="13"/>
      <c r="S185" s="13"/>
      <c r="T185" s="15" t="str">
        <f aca="false">IF(A185="","",COUNTIF(Nudges!$C$2:$C$301,A185)&gt;0)</f>
        <v/>
      </c>
      <c r="U185" s="8"/>
      <c r="V185" s="8"/>
    </row>
    <row r="186" customFormat="false" ht="15" hidden="false" customHeight="false" outlineLevel="0" collapsed="false">
      <c r="A186" s="13"/>
      <c r="B186" s="18"/>
      <c r="C186" s="15" t="str">
        <f aca="false">IF(B186="","",INT((B186-Settings!$B$2)/7)+1)</f>
        <v/>
      </c>
      <c r="D186" s="13"/>
      <c r="E186" s="15" t="str">
        <f aca="false">IF(A186="","",OR(D186=Settings!$B$3,AND(Settings!$B$4&lt;&gt;"",D186=Settings!$B$4)))</f>
        <v/>
      </c>
      <c r="F186" s="13"/>
      <c r="G186" s="13"/>
      <c r="H186" s="13"/>
      <c r="I186" s="13"/>
      <c r="J186" s="13"/>
      <c r="K186" s="18"/>
      <c r="L186" s="13"/>
      <c r="M186" s="15" t="str">
        <f aca="false">IF(A186="","",COUNTIFS(Quotes!$B$2:$B$301,A186,Quotes!$G$2:$G$301,"Y"))</f>
        <v/>
      </c>
      <c r="N186" s="17" t="str">
        <f aca="false">IF(A186="","",IF(M186=0,"",_xlfn.MINIFS(Quotes!$F$2:$F$301,Quotes!$B$2:$B$301,A186,Quotes!$G$2:$G$301,"Y")))</f>
        <v/>
      </c>
      <c r="O186" s="15" t="str">
        <f aca="false">IF(A186="","",AND(E186,G186="Y"))</f>
        <v/>
      </c>
      <c r="P186" s="17" t="str">
        <f aca="false">IF(A186="","",IF(AND(O186,N186&lt;&gt;""),N186,""))</f>
        <v/>
      </c>
      <c r="Q186" s="15" t="str">
        <f aca="false">IF(A186="","",COUNTIF(Picks!$A$2:$A$301,A186)&gt;0)</f>
        <v/>
      </c>
      <c r="R186" s="13"/>
      <c r="S186" s="13"/>
      <c r="T186" s="15" t="str">
        <f aca="false">IF(A186="","",COUNTIF(Nudges!$C$2:$C$301,A186)&gt;0)</f>
        <v/>
      </c>
      <c r="U186" s="8"/>
      <c r="V186" s="8"/>
    </row>
    <row r="187" customFormat="false" ht="15" hidden="false" customHeight="false" outlineLevel="0" collapsed="false">
      <c r="A187" s="13"/>
      <c r="B187" s="18"/>
      <c r="C187" s="15" t="str">
        <f aca="false">IF(B187="","",INT((B187-Settings!$B$2)/7)+1)</f>
        <v/>
      </c>
      <c r="D187" s="13"/>
      <c r="E187" s="15" t="str">
        <f aca="false">IF(A187="","",OR(D187=Settings!$B$3,AND(Settings!$B$4&lt;&gt;"",D187=Settings!$B$4)))</f>
        <v/>
      </c>
      <c r="F187" s="13"/>
      <c r="G187" s="13"/>
      <c r="H187" s="13"/>
      <c r="I187" s="13"/>
      <c r="J187" s="13"/>
      <c r="K187" s="18"/>
      <c r="L187" s="13"/>
      <c r="M187" s="15" t="str">
        <f aca="false">IF(A187="","",COUNTIFS(Quotes!$B$2:$B$301,A187,Quotes!$G$2:$G$301,"Y"))</f>
        <v/>
      </c>
      <c r="N187" s="17" t="str">
        <f aca="false">IF(A187="","",IF(M187=0,"",_xlfn.MINIFS(Quotes!$F$2:$F$301,Quotes!$B$2:$B$301,A187,Quotes!$G$2:$G$301,"Y")))</f>
        <v/>
      </c>
      <c r="O187" s="15" t="str">
        <f aca="false">IF(A187="","",AND(E187,G187="Y"))</f>
        <v/>
      </c>
      <c r="P187" s="17" t="str">
        <f aca="false">IF(A187="","",IF(AND(O187,N187&lt;&gt;""),N187,""))</f>
        <v/>
      </c>
      <c r="Q187" s="15" t="str">
        <f aca="false">IF(A187="","",COUNTIF(Picks!$A$2:$A$301,A187)&gt;0)</f>
        <v/>
      </c>
      <c r="R187" s="13"/>
      <c r="S187" s="13"/>
      <c r="T187" s="15" t="str">
        <f aca="false">IF(A187="","",COUNTIF(Nudges!$C$2:$C$301,A187)&gt;0)</f>
        <v/>
      </c>
      <c r="U187" s="8"/>
      <c r="V187" s="8"/>
    </row>
    <row r="188" customFormat="false" ht="15" hidden="false" customHeight="false" outlineLevel="0" collapsed="false">
      <c r="A188" s="13"/>
      <c r="B188" s="18"/>
      <c r="C188" s="15" t="str">
        <f aca="false">IF(B188="","",INT((B188-Settings!$B$2)/7)+1)</f>
        <v/>
      </c>
      <c r="D188" s="13"/>
      <c r="E188" s="15" t="str">
        <f aca="false">IF(A188="","",OR(D188=Settings!$B$3,AND(Settings!$B$4&lt;&gt;"",D188=Settings!$B$4)))</f>
        <v/>
      </c>
      <c r="F188" s="13"/>
      <c r="G188" s="13"/>
      <c r="H188" s="13"/>
      <c r="I188" s="13"/>
      <c r="J188" s="13"/>
      <c r="K188" s="18"/>
      <c r="L188" s="13"/>
      <c r="M188" s="15" t="str">
        <f aca="false">IF(A188="","",COUNTIFS(Quotes!$B$2:$B$301,A188,Quotes!$G$2:$G$301,"Y"))</f>
        <v/>
      </c>
      <c r="N188" s="17" t="str">
        <f aca="false">IF(A188="","",IF(M188=0,"",_xlfn.MINIFS(Quotes!$F$2:$F$301,Quotes!$B$2:$B$301,A188,Quotes!$G$2:$G$301,"Y")))</f>
        <v/>
      </c>
      <c r="O188" s="15" t="str">
        <f aca="false">IF(A188="","",AND(E188,G188="Y"))</f>
        <v/>
      </c>
      <c r="P188" s="17" t="str">
        <f aca="false">IF(A188="","",IF(AND(O188,N188&lt;&gt;""),N188,""))</f>
        <v/>
      </c>
      <c r="Q188" s="15" t="str">
        <f aca="false">IF(A188="","",COUNTIF(Picks!$A$2:$A$301,A188)&gt;0)</f>
        <v/>
      </c>
      <c r="R188" s="13"/>
      <c r="S188" s="13"/>
      <c r="T188" s="15" t="str">
        <f aca="false">IF(A188="","",COUNTIF(Nudges!$C$2:$C$301,A188)&gt;0)</f>
        <v/>
      </c>
      <c r="U188" s="8"/>
      <c r="V188" s="8"/>
    </row>
    <row r="189" customFormat="false" ht="15" hidden="false" customHeight="false" outlineLevel="0" collapsed="false">
      <c r="A189" s="13"/>
      <c r="B189" s="18"/>
      <c r="C189" s="15" t="str">
        <f aca="false">IF(B189="","",INT((B189-Settings!$B$2)/7)+1)</f>
        <v/>
      </c>
      <c r="D189" s="13"/>
      <c r="E189" s="15" t="str">
        <f aca="false">IF(A189="","",OR(D189=Settings!$B$3,AND(Settings!$B$4&lt;&gt;"",D189=Settings!$B$4)))</f>
        <v/>
      </c>
      <c r="F189" s="13"/>
      <c r="G189" s="13"/>
      <c r="H189" s="13"/>
      <c r="I189" s="13"/>
      <c r="J189" s="13"/>
      <c r="K189" s="18"/>
      <c r="L189" s="13"/>
      <c r="M189" s="15" t="str">
        <f aca="false">IF(A189="","",COUNTIFS(Quotes!$B$2:$B$301,A189,Quotes!$G$2:$G$301,"Y"))</f>
        <v/>
      </c>
      <c r="N189" s="17" t="str">
        <f aca="false">IF(A189="","",IF(M189=0,"",_xlfn.MINIFS(Quotes!$F$2:$F$301,Quotes!$B$2:$B$301,A189,Quotes!$G$2:$G$301,"Y")))</f>
        <v/>
      </c>
      <c r="O189" s="15" t="str">
        <f aca="false">IF(A189="","",AND(E189,G189="Y"))</f>
        <v/>
      </c>
      <c r="P189" s="17" t="str">
        <f aca="false">IF(A189="","",IF(AND(O189,N189&lt;&gt;""),N189,""))</f>
        <v/>
      </c>
      <c r="Q189" s="15" t="str">
        <f aca="false">IF(A189="","",COUNTIF(Picks!$A$2:$A$301,A189)&gt;0)</f>
        <v/>
      </c>
      <c r="R189" s="13"/>
      <c r="S189" s="13"/>
      <c r="T189" s="15" t="str">
        <f aca="false">IF(A189="","",COUNTIF(Nudges!$C$2:$C$301,A189)&gt;0)</f>
        <v/>
      </c>
      <c r="U189" s="8"/>
      <c r="V189" s="8"/>
    </row>
    <row r="190" customFormat="false" ht="15" hidden="false" customHeight="false" outlineLevel="0" collapsed="false">
      <c r="A190" s="13"/>
      <c r="B190" s="18"/>
      <c r="C190" s="15" t="str">
        <f aca="false">IF(B190="","",INT((B190-Settings!$B$2)/7)+1)</f>
        <v/>
      </c>
      <c r="D190" s="13"/>
      <c r="E190" s="15" t="str">
        <f aca="false">IF(A190="","",OR(D190=Settings!$B$3,AND(Settings!$B$4&lt;&gt;"",D190=Settings!$B$4)))</f>
        <v/>
      </c>
      <c r="F190" s="13"/>
      <c r="G190" s="13"/>
      <c r="H190" s="13"/>
      <c r="I190" s="13"/>
      <c r="J190" s="13"/>
      <c r="K190" s="18"/>
      <c r="L190" s="13"/>
      <c r="M190" s="15" t="str">
        <f aca="false">IF(A190="","",COUNTIFS(Quotes!$B$2:$B$301,A190,Quotes!$G$2:$G$301,"Y"))</f>
        <v/>
      </c>
      <c r="N190" s="17" t="str">
        <f aca="false">IF(A190="","",IF(M190=0,"",_xlfn.MINIFS(Quotes!$F$2:$F$301,Quotes!$B$2:$B$301,A190,Quotes!$G$2:$G$301,"Y")))</f>
        <v/>
      </c>
      <c r="O190" s="15" t="str">
        <f aca="false">IF(A190="","",AND(E190,G190="Y"))</f>
        <v/>
      </c>
      <c r="P190" s="17" t="str">
        <f aca="false">IF(A190="","",IF(AND(O190,N190&lt;&gt;""),N190,""))</f>
        <v/>
      </c>
      <c r="Q190" s="15" t="str">
        <f aca="false">IF(A190="","",COUNTIF(Picks!$A$2:$A$301,A190)&gt;0)</f>
        <v/>
      </c>
      <c r="R190" s="13"/>
      <c r="S190" s="13"/>
      <c r="T190" s="15" t="str">
        <f aca="false">IF(A190="","",COUNTIF(Nudges!$C$2:$C$301,A190)&gt;0)</f>
        <v/>
      </c>
      <c r="U190" s="8"/>
      <c r="V190" s="8"/>
    </row>
    <row r="191" customFormat="false" ht="15" hidden="false" customHeight="false" outlineLevel="0" collapsed="false">
      <c r="A191" s="13"/>
      <c r="B191" s="18"/>
      <c r="C191" s="15" t="str">
        <f aca="false">IF(B191="","",INT((B191-Settings!$B$2)/7)+1)</f>
        <v/>
      </c>
      <c r="D191" s="13"/>
      <c r="E191" s="15" t="str">
        <f aca="false">IF(A191="","",OR(D191=Settings!$B$3,AND(Settings!$B$4&lt;&gt;"",D191=Settings!$B$4)))</f>
        <v/>
      </c>
      <c r="F191" s="13"/>
      <c r="G191" s="13"/>
      <c r="H191" s="13"/>
      <c r="I191" s="13"/>
      <c r="J191" s="13"/>
      <c r="K191" s="18"/>
      <c r="L191" s="13"/>
      <c r="M191" s="15" t="str">
        <f aca="false">IF(A191="","",COUNTIFS(Quotes!$B$2:$B$301,A191,Quotes!$G$2:$G$301,"Y"))</f>
        <v/>
      </c>
      <c r="N191" s="17" t="str">
        <f aca="false">IF(A191="","",IF(M191=0,"",_xlfn.MINIFS(Quotes!$F$2:$F$301,Quotes!$B$2:$B$301,A191,Quotes!$G$2:$G$301,"Y")))</f>
        <v/>
      </c>
      <c r="O191" s="15" t="str">
        <f aca="false">IF(A191="","",AND(E191,G191="Y"))</f>
        <v/>
      </c>
      <c r="P191" s="17" t="str">
        <f aca="false">IF(A191="","",IF(AND(O191,N191&lt;&gt;""),N191,""))</f>
        <v/>
      </c>
      <c r="Q191" s="15" t="str">
        <f aca="false">IF(A191="","",COUNTIF(Picks!$A$2:$A$301,A191)&gt;0)</f>
        <v/>
      </c>
      <c r="R191" s="13"/>
      <c r="S191" s="13"/>
      <c r="T191" s="15" t="str">
        <f aca="false">IF(A191="","",COUNTIF(Nudges!$C$2:$C$301,A191)&gt;0)</f>
        <v/>
      </c>
      <c r="U191" s="8"/>
      <c r="V191" s="8"/>
    </row>
    <row r="192" customFormat="false" ht="15" hidden="false" customHeight="false" outlineLevel="0" collapsed="false">
      <c r="A192" s="13"/>
      <c r="B192" s="18"/>
      <c r="C192" s="15" t="str">
        <f aca="false">IF(B192="","",INT((B192-Settings!$B$2)/7)+1)</f>
        <v/>
      </c>
      <c r="D192" s="13"/>
      <c r="E192" s="15" t="str">
        <f aca="false">IF(A192="","",OR(D192=Settings!$B$3,AND(Settings!$B$4&lt;&gt;"",D192=Settings!$B$4)))</f>
        <v/>
      </c>
      <c r="F192" s="13"/>
      <c r="G192" s="13"/>
      <c r="H192" s="13"/>
      <c r="I192" s="13"/>
      <c r="J192" s="13"/>
      <c r="K192" s="18"/>
      <c r="L192" s="13"/>
      <c r="M192" s="15" t="str">
        <f aca="false">IF(A192="","",COUNTIFS(Quotes!$B$2:$B$301,A192,Quotes!$G$2:$G$301,"Y"))</f>
        <v/>
      </c>
      <c r="N192" s="17" t="str">
        <f aca="false">IF(A192="","",IF(M192=0,"",_xlfn.MINIFS(Quotes!$F$2:$F$301,Quotes!$B$2:$B$301,A192,Quotes!$G$2:$G$301,"Y")))</f>
        <v/>
      </c>
      <c r="O192" s="15" t="str">
        <f aca="false">IF(A192="","",AND(E192,G192="Y"))</f>
        <v/>
      </c>
      <c r="P192" s="17" t="str">
        <f aca="false">IF(A192="","",IF(AND(O192,N192&lt;&gt;""),N192,""))</f>
        <v/>
      </c>
      <c r="Q192" s="15" t="str">
        <f aca="false">IF(A192="","",COUNTIF(Picks!$A$2:$A$301,A192)&gt;0)</f>
        <v/>
      </c>
      <c r="R192" s="13"/>
      <c r="S192" s="13"/>
      <c r="T192" s="15" t="str">
        <f aca="false">IF(A192="","",COUNTIF(Nudges!$C$2:$C$301,A192)&gt;0)</f>
        <v/>
      </c>
      <c r="U192" s="8"/>
      <c r="V192" s="8"/>
    </row>
    <row r="193" customFormat="false" ht="15" hidden="false" customHeight="false" outlineLevel="0" collapsed="false">
      <c r="A193" s="13"/>
      <c r="B193" s="18"/>
      <c r="C193" s="15" t="str">
        <f aca="false">IF(B193="","",INT((B193-Settings!$B$2)/7)+1)</f>
        <v/>
      </c>
      <c r="D193" s="13"/>
      <c r="E193" s="15" t="str">
        <f aca="false">IF(A193="","",OR(D193=Settings!$B$3,AND(Settings!$B$4&lt;&gt;"",D193=Settings!$B$4)))</f>
        <v/>
      </c>
      <c r="F193" s="13"/>
      <c r="G193" s="13"/>
      <c r="H193" s="13"/>
      <c r="I193" s="13"/>
      <c r="J193" s="13"/>
      <c r="K193" s="18"/>
      <c r="L193" s="13"/>
      <c r="M193" s="15" t="str">
        <f aca="false">IF(A193="","",COUNTIFS(Quotes!$B$2:$B$301,A193,Quotes!$G$2:$G$301,"Y"))</f>
        <v/>
      </c>
      <c r="N193" s="17" t="str">
        <f aca="false">IF(A193="","",IF(M193=0,"",_xlfn.MINIFS(Quotes!$F$2:$F$301,Quotes!$B$2:$B$301,A193,Quotes!$G$2:$G$301,"Y")))</f>
        <v/>
      </c>
      <c r="O193" s="15" t="str">
        <f aca="false">IF(A193="","",AND(E193,G193="Y"))</f>
        <v/>
      </c>
      <c r="P193" s="17" t="str">
        <f aca="false">IF(A193="","",IF(AND(O193,N193&lt;&gt;""),N193,""))</f>
        <v/>
      </c>
      <c r="Q193" s="15" t="str">
        <f aca="false">IF(A193="","",COUNTIF(Picks!$A$2:$A$301,A193)&gt;0)</f>
        <v/>
      </c>
      <c r="R193" s="13"/>
      <c r="S193" s="13"/>
      <c r="T193" s="15" t="str">
        <f aca="false">IF(A193="","",COUNTIF(Nudges!$C$2:$C$301,A193)&gt;0)</f>
        <v/>
      </c>
      <c r="U193" s="8"/>
      <c r="V193" s="8"/>
    </row>
    <row r="194" customFormat="false" ht="15" hidden="false" customHeight="false" outlineLevel="0" collapsed="false">
      <c r="A194" s="13"/>
      <c r="B194" s="18"/>
      <c r="C194" s="15" t="str">
        <f aca="false">IF(B194="","",INT((B194-Settings!$B$2)/7)+1)</f>
        <v/>
      </c>
      <c r="D194" s="13"/>
      <c r="E194" s="15" t="str">
        <f aca="false">IF(A194="","",OR(D194=Settings!$B$3,AND(Settings!$B$4&lt;&gt;"",D194=Settings!$B$4)))</f>
        <v/>
      </c>
      <c r="F194" s="13"/>
      <c r="G194" s="13"/>
      <c r="H194" s="13"/>
      <c r="I194" s="13"/>
      <c r="J194" s="13"/>
      <c r="K194" s="18"/>
      <c r="L194" s="13"/>
      <c r="M194" s="15" t="str">
        <f aca="false">IF(A194="","",COUNTIFS(Quotes!$B$2:$B$301,A194,Quotes!$G$2:$G$301,"Y"))</f>
        <v/>
      </c>
      <c r="N194" s="17" t="str">
        <f aca="false">IF(A194="","",IF(M194=0,"",_xlfn.MINIFS(Quotes!$F$2:$F$301,Quotes!$B$2:$B$301,A194,Quotes!$G$2:$G$301,"Y")))</f>
        <v/>
      </c>
      <c r="O194" s="15" t="str">
        <f aca="false">IF(A194="","",AND(E194,G194="Y"))</f>
        <v/>
      </c>
      <c r="P194" s="17" t="str">
        <f aca="false">IF(A194="","",IF(AND(O194,N194&lt;&gt;""),N194,""))</f>
        <v/>
      </c>
      <c r="Q194" s="15" t="str">
        <f aca="false">IF(A194="","",COUNTIF(Picks!$A$2:$A$301,A194)&gt;0)</f>
        <v/>
      </c>
      <c r="R194" s="13"/>
      <c r="S194" s="13"/>
      <c r="T194" s="15" t="str">
        <f aca="false">IF(A194="","",COUNTIF(Nudges!$C$2:$C$301,A194)&gt;0)</f>
        <v/>
      </c>
      <c r="U194" s="8"/>
      <c r="V194" s="8"/>
    </row>
    <row r="195" customFormat="false" ht="15" hidden="false" customHeight="false" outlineLevel="0" collapsed="false">
      <c r="A195" s="13"/>
      <c r="B195" s="18"/>
      <c r="C195" s="15" t="str">
        <f aca="false">IF(B195="","",INT((B195-Settings!$B$2)/7)+1)</f>
        <v/>
      </c>
      <c r="D195" s="13"/>
      <c r="E195" s="15" t="str">
        <f aca="false">IF(A195="","",OR(D195=Settings!$B$3,AND(Settings!$B$4&lt;&gt;"",D195=Settings!$B$4)))</f>
        <v/>
      </c>
      <c r="F195" s="13"/>
      <c r="G195" s="13"/>
      <c r="H195" s="13"/>
      <c r="I195" s="13"/>
      <c r="J195" s="13"/>
      <c r="K195" s="18"/>
      <c r="L195" s="13"/>
      <c r="M195" s="15" t="str">
        <f aca="false">IF(A195="","",COUNTIFS(Quotes!$B$2:$B$301,A195,Quotes!$G$2:$G$301,"Y"))</f>
        <v/>
      </c>
      <c r="N195" s="17" t="str">
        <f aca="false">IF(A195="","",IF(M195=0,"",_xlfn.MINIFS(Quotes!$F$2:$F$301,Quotes!$B$2:$B$301,A195,Quotes!$G$2:$G$301,"Y")))</f>
        <v/>
      </c>
      <c r="O195" s="15" t="str">
        <f aca="false">IF(A195="","",AND(E195,G195="Y"))</f>
        <v/>
      </c>
      <c r="P195" s="17" t="str">
        <f aca="false">IF(A195="","",IF(AND(O195,N195&lt;&gt;""),N195,""))</f>
        <v/>
      </c>
      <c r="Q195" s="15" t="str">
        <f aca="false">IF(A195="","",COUNTIF(Picks!$A$2:$A$301,A195)&gt;0)</f>
        <v/>
      </c>
      <c r="R195" s="13"/>
      <c r="S195" s="13"/>
      <c r="T195" s="15" t="str">
        <f aca="false">IF(A195="","",COUNTIF(Nudges!$C$2:$C$301,A195)&gt;0)</f>
        <v/>
      </c>
      <c r="U195" s="8"/>
      <c r="V195" s="8"/>
    </row>
    <row r="196" customFormat="false" ht="15" hidden="false" customHeight="false" outlineLevel="0" collapsed="false">
      <c r="A196" s="13"/>
      <c r="B196" s="18"/>
      <c r="C196" s="15" t="str">
        <f aca="false">IF(B196="","",INT((B196-Settings!$B$2)/7)+1)</f>
        <v/>
      </c>
      <c r="D196" s="13"/>
      <c r="E196" s="15" t="str">
        <f aca="false">IF(A196="","",OR(D196=Settings!$B$3,AND(Settings!$B$4&lt;&gt;"",D196=Settings!$B$4)))</f>
        <v/>
      </c>
      <c r="F196" s="13"/>
      <c r="G196" s="13"/>
      <c r="H196" s="13"/>
      <c r="I196" s="13"/>
      <c r="J196" s="13"/>
      <c r="K196" s="18"/>
      <c r="L196" s="13"/>
      <c r="M196" s="15" t="str">
        <f aca="false">IF(A196="","",COUNTIFS(Quotes!$B$2:$B$301,A196,Quotes!$G$2:$G$301,"Y"))</f>
        <v/>
      </c>
      <c r="N196" s="17" t="str">
        <f aca="false">IF(A196="","",IF(M196=0,"",_xlfn.MINIFS(Quotes!$F$2:$F$301,Quotes!$B$2:$B$301,A196,Quotes!$G$2:$G$301,"Y")))</f>
        <v/>
      </c>
      <c r="O196" s="15" t="str">
        <f aca="false">IF(A196="","",AND(E196,G196="Y"))</f>
        <v/>
      </c>
      <c r="P196" s="17" t="str">
        <f aca="false">IF(A196="","",IF(AND(O196,N196&lt;&gt;""),N196,""))</f>
        <v/>
      </c>
      <c r="Q196" s="15" t="str">
        <f aca="false">IF(A196="","",COUNTIF(Picks!$A$2:$A$301,A196)&gt;0)</f>
        <v/>
      </c>
      <c r="R196" s="13"/>
      <c r="S196" s="13"/>
      <c r="T196" s="15" t="str">
        <f aca="false">IF(A196="","",COUNTIF(Nudges!$C$2:$C$301,A196)&gt;0)</f>
        <v/>
      </c>
      <c r="U196" s="8"/>
      <c r="V196" s="8"/>
    </row>
    <row r="197" customFormat="false" ht="15" hidden="false" customHeight="false" outlineLevel="0" collapsed="false">
      <c r="A197" s="13"/>
      <c r="B197" s="18"/>
      <c r="C197" s="15" t="str">
        <f aca="false">IF(B197="","",INT((B197-Settings!$B$2)/7)+1)</f>
        <v/>
      </c>
      <c r="D197" s="13"/>
      <c r="E197" s="15" t="str">
        <f aca="false">IF(A197="","",OR(D197=Settings!$B$3,AND(Settings!$B$4&lt;&gt;"",D197=Settings!$B$4)))</f>
        <v/>
      </c>
      <c r="F197" s="13"/>
      <c r="G197" s="13"/>
      <c r="H197" s="13"/>
      <c r="I197" s="13"/>
      <c r="J197" s="13"/>
      <c r="K197" s="18"/>
      <c r="L197" s="13"/>
      <c r="M197" s="15" t="str">
        <f aca="false">IF(A197="","",COUNTIFS(Quotes!$B$2:$B$301,A197,Quotes!$G$2:$G$301,"Y"))</f>
        <v/>
      </c>
      <c r="N197" s="17" t="str">
        <f aca="false">IF(A197="","",IF(M197=0,"",_xlfn.MINIFS(Quotes!$F$2:$F$301,Quotes!$B$2:$B$301,A197,Quotes!$G$2:$G$301,"Y")))</f>
        <v/>
      </c>
      <c r="O197" s="15" t="str">
        <f aca="false">IF(A197="","",AND(E197,G197="Y"))</f>
        <v/>
      </c>
      <c r="P197" s="17" t="str">
        <f aca="false">IF(A197="","",IF(AND(O197,N197&lt;&gt;""),N197,""))</f>
        <v/>
      </c>
      <c r="Q197" s="15" t="str">
        <f aca="false">IF(A197="","",COUNTIF(Picks!$A$2:$A$301,A197)&gt;0)</f>
        <v/>
      </c>
      <c r="R197" s="13"/>
      <c r="S197" s="13"/>
      <c r="T197" s="15" t="str">
        <f aca="false">IF(A197="","",COUNTIF(Nudges!$C$2:$C$301,A197)&gt;0)</f>
        <v/>
      </c>
      <c r="U197" s="8"/>
      <c r="V197" s="8"/>
    </row>
    <row r="198" customFormat="false" ht="15" hidden="false" customHeight="false" outlineLevel="0" collapsed="false">
      <c r="A198" s="13"/>
      <c r="B198" s="18"/>
      <c r="C198" s="15" t="str">
        <f aca="false">IF(B198="","",INT((B198-Settings!$B$2)/7)+1)</f>
        <v/>
      </c>
      <c r="D198" s="13"/>
      <c r="E198" s="15" t="str">
        <f aca="false">IF(A198="","",OR(D198=Settings!$B$3,AND(Settings!$B$4&lt;&gt;"",D198=Settings!$B$4)))</f>
        <v/>
      </c>
      <c r="F198" s="13"/>
      <c r="G198" s="13"/>
      <c r="H198" s="13"/>
      <c r="I198" s="13"/>
      <c r="J198" s="13"/>
      <c r="K198" s="18"/>
      <c r="L198" s="13"/>
      <c r="M198" s="15" t="str">
        <f aca="false">IF(A198="","",COUNTIFS(Quotes!$B$2:$B$301,A198,Quotes!$G$2:$G$301,"Y"))</f>
        <v/>
      </c>
      <c r="N198" s="17" t="str">
        <f aca="false">IF(A198="","",IF(M198=0,"",_xlfn.MINIFS(Quotes!$F$2:$F$301,Quotes!$B$2:$B$301,A198,Quotes!$G$2:$G$301,"Y")))</f>
        <v/>
      </c>
      <c r="O198" s="15" t="str">
        <f aca="false">IF(A198="","",AND(E198,G198="Y"))</f>
        <v/>
      </c>
      <c r="P198" s="17" t="str">
        <f aca="false">IF(A198="","",IF(AND(O198,N198&lt;&gt;""),N198,""))</f>
        <v/>
      </c>
      <c r="Q198" s="15" t="str">
        <f aca="false">IF(A198="","",COUNTIF(Picks!$A$2:$A$301,A198)&gt;0)</f>
        <v/>
      </c>
      <c r="R198" s="13"/>
      <c r="S198" s="13"/>
      <c r="T198" s="15" t="str">
        <f aca="false">IF(A198="","",COUNTIF(Nudges!$C$2:$C$301,A198)&gt;0)</f>
        <v/>
      </c>
      <c r="U198" s="8"/>
      <c r="V198" s="8"/>
    </row>
    <row r="199" customFormat="false" ht="15" hidden="false" customHeight="false" outlineLevel="0" collapsed="false">
      <c r="A199" s="13"/>
      <c r="B199" s="18"/>
      <c r="C199" s="15" t="str">
        <f aca="false">IF(B199="","",INT((B199-Settings!$B$2)/7)+1)</f>
        <v/>
      </c>
      <c r="D199" s="13"/>
      <c r="E199" s="15" t="str">
        <f aca="false">IF(A199="","",OR(D199=Settings!$B$3,AND(Settings!$B$4&lt;&gt;"",D199=Settings!$B$4)))</f>
        <v/>
      </c>
      <c r="F199" s="13"/>
      <c r="G199" s="13"/>
      <c r="H199" s="13"/>
      <c r="I199" s="13"/>
      <c r="J199" s="13"/>
      <c r="K199" s="18"/>
      <c r="L199" s="13"/>
      <c r="M199" s="15" t="str">
        <f aca="false">IF(A199="","",COUNTIFS(Quotes!$B$2:$B$301,A199,Quotes!$G$2:$G$301,"Y"))</f>
        <v/>
      </c>
      <c r="N199" s="17" t="str">
        <f aca="false">IF(A199="","",IF(M199=0,"",_xlfn.MINIFS(Quotes!$F$2:$F$301,Quotes!$B$2:$B$301,A199,Quotes!$G$2:$G$301,"Y")))</f>
        <v/>
      </c>
      <c r="O199" s="15" t="str">
        <f aca="false">IF(A199="","",AND(E199,G199="Y"))</f>
        <v/>
      </c>
      <c r="P199" s="17" t="str">
        <f aca="false">IF(A199="","",IF(AND(O199,N199&lt;&gt;""),N199,""))</f>
        <v/>
      </c>
      <c r="Q199" s="15" t="str">
        <f aca="false">IF(A199="","",COUNTIF(Picks!$A$2:$A$301,A199)&gt;0)</f>
        <v/>
      </c>
      <c r="R199" s="13"/>
      <c r="S199" s="13"/>
      <c r="T199" s="15" t="str">
        <f aca="false">IF(A199="","",COUNTIF(Nudges!$C$2:$C$301,A199)&gt;0)</f>
        <v/>
      </c>
      <c r="U199" s="8"/>
      <c r="V199" s="8"/>
    </row>
    <row r="200" customFormat="false" ht="15" hidden="false" customHeight="false" outlineLevel="0" collapsed="false">
      <c r="A200" s="13"/>
      <c r="B200" s="18"/>
      <c r="C200" s="15" t="str">
        <f aca="false">IF(B200="","",INT((B200-Settings!$B$2)/7)+1)</f>
        <v/>
      </c>
      <c r="D200" s="13"/>
      <c r="E200" s="15" t="str">
        <f aca="false">IF(A200="","",OR(D200=Settings!$B$3,AND(Settings!$B$4&lt;&gt;"",D200=Settings!$B$4)))</f>
        <v/>
      </c>
      <c r="F200" s="13"/>
      <c r="G200" s="13"/>
      <c r="H200" s="13"/>
      <c r="I200" s="13"/>
      <c r="J200" s="13"/>
      <c r="K200" s="18"/>
      <c r="L200" s="13"/>
      <c r="M200" s="15" t="str">
        <f aca="false">IF(A200="","",COUNTIFS(Quotes!$B$2:$B$301,A200,Quotes!$G$2:$G$301,"Y"))</f>
        <v/>
      </c>
      <c r="N200" s="17" t="str">
        <f aca="false">IF(A200="","",IF(M200=0,"",_xlfn.MINIFS(Quotes!$F$2:$F$301,Quotes!$B$2:$B$301,A200,Quotes!$G$2:$G$301,"Y")))</f>
        <v/>
      </c>
      <c r="O200" s="15" t="str">
        <f aca="false">IF(A200="","",AND(E200,G200="Y"))</f>
        <v/>
      </c>
      <c r="P200" s="17" t="str">
        <f aca="false">IF(A200="","",IF(AND(O200,N200&lt;&gt;""),N200,""))</f>
        <v/>
      </c>
      <c r="Q200" s="15" t="str">
        <f aca="false">IF(A200="","",COUNTIF(Picks!$A$2:$A$301,A200)&gt;0)</f>
        <v/>
      </c>
      <c r="R200" s="13"/>
      <c r="S200" s="13"/>
      <c r="T200" s="15" t="str">
        <f aca="false">IF(A200="","",COUNTIF(Nudges!$C$2:$C$301,A200)&gt;0)</f>
        <v/>
      </c>
      <c r="U200" s="8"/>
      <c r="V200" s="8"/>
    </row>
    <row r="201" customFormat="false" ht="15" hidden="false" customHeight="false" outlineLevel="0" collapsed="false">
      <c r="A201" s="13"/>
      <c r="B201" s="18"/>
      <c r="C201" s="15" t="str">
        <f aca="false">IF(B201="","",INT((B201-Settings!$B$2)/7)+1)</f>
        <v/>
      </c>
      <c r="D201" s="13"/>
      <c r="E201" s="15" t="str">
        <f aca="false">IF(A201="","",OR(D201=Settings!$B$3,AND(Settings!$B$4&lt;&gt;"",D201=Settings!$B$4)))</f>
        <v/>
      </c>
      <c r="F201" s="13"/>
      <c r="G201" s="13"/>
      <c r="H201" s="13"/>
      <c r="I201" s="13"/>
      <c r="J201" s="13"/>
      <c r="K201" s="18"/>
      <c r="L201" s="13"/>
      <c r="M201" s="15" t="str">
        <f aca="false">IF(A201="","",COUNTIFS(Quotes!$B$2:$B$301,A201,Quotes!$G$2:$G$301,"Y"))</f>
        <v/>
      </c>
      <c r="N201" s="17" t="str">
        <f aca="false">IF(A201="","",IF(M201=0,"",_xlfn.MINIFS(Quotes!$F$2:$F$301,Quotes!$B$2:$B$301,A201,Quotes!$G$2:$G$301,"Y")))</f>
        <v/>
      </c>
      <c r="O201" s="15" t="str">
        <f aca="false">IF(A201="","",AND(E201,G201="Y"))</f>
        <v/>
      </c>
      <c r="P201" s="17" t="str">
        <f aca="false">IF(A201="","",IF(AND(O201,N201&lt;&gt;""),N201,""))</f>
        <v/>
      </c>
      <c r="Q201" s="15" t="str">
        <f aca="false">IF(A201="","",COUNTIF(Picks!$A$2:$A$301,A201)&gt;0)</f>
        <v/>
      </c>
      <c r="R201" s="13"/>
      <c r="S201" s="13"/>
      <c r="T201" s="15" t="str">
        <f aca="false">IF(A201="","",COUNTIF(Nudges!$C$2:$C$301,A201)&gt;0)</f>
        <v/>
      </c>
      <c r="U201" s="8"/>
      <c r="V201" s="8"/>
    </row>
    <row r="202" customFormat="false" ht="15" hidden="false" customHeight="false" outlineLevel="0" collapsed="false">
      <c r="A202" s="13"/>
      <c r="B202" s="18"/>
      <c r="C202" s="15" t="str">
        <f aca="false">IF(B202="","",INT((B202-Settings!$B$2)/7)+1)</f>
        <v/>
      </c>
      <c r="D202" s="13"/>
      <c r="E202" s="15" t="str">
        <f aca="false">IF(A202="","",OR(D202=Settings!$B$3,AND(Settings!$B$4&lt;&gt;"",D202=Settings!$B$4)))</f>
        <v/>
      </c>
      <c r="F202" s="13"/>
      <c r="G202" s="13"/>
      <c r="H202" s="13"/>
      <c r="I202" s="13"/>
      <c r="J202" s="13"/>
      <c r="K202" s="18"/>
      <c r="L202" s="13"/>
      <c r="M202" s="15" t="str">
        <f aca="false">IF(A202="","",COUNTIFS(Quotes!$B$2:$B$301,A202,Quotes!$G$2:$G$301,"Y"))</f>
        <v/>
      </c>
      <c r="N202" s="17" t="str">
        <f aca="false">IF(A202="","",IF(M202=0,"",_xlfn.MINIFS(Quotes!$F$2:$F$301,Quotes!$B$2:$B$301,A202,Quotes!$G$2:$G$301,"Y")))</f>
        <v/>
      </c>
      <c r="O202" s="15" t="str">
        <f aca="false">IF(A202="","",AND(E202,G202="Y"))</f>
        <v/>
      </c>
      <c r="P202" s="17" t="str">
        <f aca="false">IF(A202="","",IF(AND(O202,N202&lt;&gt;""),N202,""))</f>
        <v/>
      </c>
      <c r="Q202" s="15" t="str">
        <f aca="false">IF(A202="","",COUNTIF(Picks!$A$2:$A$301,A202)&gt;0)</f>
        <v/>
      </c>
      <c r="R202" s="13"/>
      <c r="S202" s="13"/>
      <c r="T202" s="15" t="str">
        <f aca="false">IF(A202="","",COUNTIF(Nudges!$C$2:$C$301,A202)&gt;0)</f>
        <v/>
      </c>
      <c r="U202" s="8"/>
      <c r="V202" s="8"/>
    </row>
    <row r="203" customFormat="false" ht="15" hidden="false" customHeight="false" outlineLevel="0" collapsed="false">
      <c r="A203" s="13"/>
      <c r="B203" s="18"/>
      <c r="C203" s="15" t="str">
        <f aca="false">IF(B203="","",INT((B203-Settings!$B$2)/7)+1)</f>
        <v/>
      </c>
      <c r="D203" s="13"/>
      <c r="E203" s="15" t="str">
        <f aca="false">IF(A203="","",OR(D203=Settings!$B$3,AND(Settings!$B$4&lt;&gt;"",D203=Settings!$B$4)))</f>
        <v/>
      </c>
      <c r="F203" s="13"/>
      <c r="G203" s="13"/>
      <c r="H203" s="13"/>
      <c r="I203" s="13"/>
      <c r="J203" s="13"/>
      <c r="K203" s="18"/>
      <c r="L203" s="13"/>
      <c r="M203" s="15" t="str">
        <f aca="false">IF(A203="","",COUNTIFS(Quotes!$B$2:$B$301,A203,Quotes!$G$2:$G$301,"Y"))</f>
        <v/>
      </c>
      <c r="N203" s="17" t="str">
        <f aca="false">IF(A203="","",IF(M203=0,"",_xlfn.MINIFS(Quotes!$F$2:$F$301,Quotes!$B$2:$B$301,A203,Quotes!$G$2:$G$301,"Y")))</f>
        <v/>
      </c>
      <c r="O203" s="15" t="str">
        <f aca="false">IF(A203="","",AND(E203,G203="Y"))</f>
        <v/>
      </c>
      <c r="P203" s="17" t="str">
        <f aca="false">IF(A203="","",IF(AND(O203,N203&lt;&gt;""),N203,""))</f>
        <v/>
      </c>
      <c r="Q203" s="15" t="str">
        <f aca="false">IF(A203="","",COUNTIF(Picks!$A$2:$A$301,A203)&gt;0)</f>
        <v/>
      </c>
      <c r="R203" s="13"/>
      <c r="S203" s="13"/>
      <c r="T203" s="15" t="str">
        <f aca="false">IF(A203="","",COUNTIF(Nudges!$C$2:$C$301,A203)&gt;0)</f>
        <v/>
      </c>
      <c r="U203" s="8"/>
      <c r="V203" s="8"/>
    </row>
    <row r="204" customFormat="false" ht="15" hidden="false" customHeight="false" outlineLevel="0" collapsed="false">
      <c r="A204" s="13"/>
      <c r="B204" s="18"/>
      <c r="C204" s="15" t="str">
        <f aca="false">IF(B204="","",INT((B204-Settings!$B$2)/7)+1)</f>
        <v/>
      </c>
      <c r="D204" s="13"/>
      <c r="E204" s="15" t="str">
        <f aca="false">IF(A204="","",OR(D204=Settings!$B$3,AND(Settings!$B$4&lt;&gt;"",D204=Settings!$B$4)))</f>
        <v/>
      </c>
      <c r="F204" s="13"/>
      <c r="G204" s="13"/>
      <c r="H204" s="13"/>
      <c r="I204" s="13"/>
      <c r="J204" s="13"/>
      <c r="K204" s="18"/>
      <c r="L204" s="13"/>
      <c r="M204" s="15" t="str">
        <f aca="false">IF(A204="","",COUNTIFS(Quotes!$B$2:$B$301,A204,Quotes!$G$2:$G$301,"Y"))</f>
        <v/>
      </c>
      <c r="N204" s="17" t="str">
        <f aca="false">IF(A204="","",IF(M204=0,"",_xlfn.MINIFS(Quotes!$F$2:$F$301,Quotes!$B$2:$B$301,A204,Quotes!$G$2:$G$301,"Y")))</f>
        <v/>
      </c>
      <c r="O204" s="15" t="str">
        <f aca="false">IF(A204="","",AND(E204,G204="Y"))</f>
        <v/>
      </c>
      <c r="P204" s="17" t="str">
        <f aca="false">IF(A204="","",IF(AND(O204,N204&lt;&gt;""),N204,""))</f>
        <v/>
      </c>
      <c r="Q204" s="15" t="str">
        <f aca="false">IF(A204="","",COUNTIF(Picks!$A$2:$A$301,A204)&gt;0)</f>
        <v/>
      </c>
      <c r="R204" s="13"/>
      <c r="S204" s="13"/>
      <c r="T204" s="15" t="str">
        <f aca="false">IF(A204="","",COUNTIF(Nudges!$C$2:$C$301,A204)&gt;0)</f>
        <v/>
      </c>
      <c r="U204" s="8"/>
      <c r="V204" s="8"/>
    </row>
    <row r="205" customFormat="false" ht="15" hidden="false" customHeight="false" outlineLevel="0" collapsed="false">
      <c r="A205" s="13"/>
      <c r="B205" s="18"/>
      <c r="C205" s="15" t="str">
        <f aca="false">IF(B205="","",INT((B205-Settings!$B$2)/7)+1)</f>
        <v/>
      </c>
      <c r="D205" s="13"/>
      <c r="E205" s="15" t="str">
        <f aca="false">IF(A205="","",OR(D205=Settings!$B$3,AND(Settings!$B$4&lt;&gt;"",D205=Settings!$B$4)))</f>
        <v/>
      </c>
      <c r="F205" s="13"/>
      <c r="G205" s="13"/>
      <c r="H205" s="13"/>
      <c r="I205" s="13"/>
      <c r="J205" s="13"/>
      <c r="K205" s="18"/>
      <c r="L205" s="13"/>
      <c r="M205" s="15" t="str">
        <f aca="false">IF(A205="","",COUNTIFS(Quotes!$B$2:$B$301,A205,Quotes!$G$2:$G$301,"Y"))</f>
        <v/>
      </c>
      <c r="N205" s="17" t="str">
        <f aca="false">IF(A205="","",IF(M205=0,"",_xlfn.MINIFS(Quotes!$F$2:$F$301,Quotes!$B$2:$B$301,A205,Quotes!$G$2:$G$301,"Y")))</f>
        <v/>
      </c>
      <c r="O205" s="15" t="str">
        <f aca="false">IF(A205="","",AND(E205,G205="Y"))</f>
        <v/>
      </c>
      <c r="P205" s="17" t="str">
        <f aca="false">IF(A205="","",IF(AND(O205,N205&lt;&gt;""),N205,""))</f>
        <v/>
      </c>
      <c r="Q205" s="15" t="str">
        <f aca="false">IF(A205="","",COUNTIF(Picks!$A$2:$A$301,A205)&gt;0)</f>
        <v/>
      </c>
      <c r="R205" s="13"/>
      <c r="S205" s="13"/>
      <c r="T205" s="15" t="str">
        <f aca="false">IF(A205="","",COUNTIF(Nudges!$C$2:$C$301,A205)&gt;0)</f>
        <v/>
      </c>
      <c r="U205" s="8"/>
      <c r="V205" s="8"/>
    </row>
    <row r="206" customFormat="false" ht="15" hidden="false" customHeight="false" outlineLevel="0" collapsed="false">
      <c r="A206" s="13"/>
      <c r="B206" s="18"/>
      <c r="C206" s="15" t="str">
        <f aca="false">IF(B206="","",INT((B206-Settings!$B$2)/7)+1)</f>
        <v/>
      </c>
      <c r="D206" s="13"/>
      <c r="E206" s="15" t="str">
        <f aca="false">IF(A206="","",OR(D206=Settings!$B$3,AND(Settings!$B$4&lt;&gt;"",D206=Settings!$B$4)))</f>
        <v/>
      </c>
      <c r="F206" s="13"/>
      <c r="G206" s="13"/>
      <c r="H206" s="13"/>
      <c r="I206" s="13"/>
      <c r="J206" s="13"/>
      <c r="K206" s="18"/>
      <c r="L206" s="13"/>
      <c r="M206" s="15" t="str">
        <f aca="false">IF(A206="","",COUNTIFS(Quotes!$B$2:$B$301,A206,Quotes!$G$2:$G$301,"Y"))</f>
        <v/>
      </c>
      <c r="N206" s="17" t="str">
        <f aca="false">IF(A206="","",IF(M206=0,"",_xlfn.MINIFS(Quotes!$F$2:$F$301,Quotes!$B$2:$B$301,A206,Quotes!$G$2:$G$301,"Y")))</f>
        <v/>
      </c>
      <c r="O206" s="15" t="str">
        <f aca="false">IF(A206="","",AND(E206,G206="Y"))</f>
        <v/>
      </c>
      <c r="P206" s="17" t="str">
        <f aca="false">IF(A206="","",IF(AND(O206,N206&lt;&gt;""),N206,""))</f>
        <v/>
      </c>
      <c r="Q206" s="15" t="str">
        <f aca="false">IF(A206="","",COUNTIF(Picks!$A$2:$A$301,A206)&gt;0)</f>
        <v/>
      </c>
      <c r="R206" s="13"/>
      <c r="S206" s="13"/>
      <c r="T206" s="15" t="str">
        <f aca="false">IF(A206="","",COUNTIF(Nudges!$C$2:$C$301,A206)&gt;0)</f>
        <v/>
      </c>
      <c r="U206" s="8"/>
      <c r="V206" s="8"/>
    </row>
    <row r="207" customFormat="false" ht="15" hidden="false" customHeight="false" outlineLevel="0" collapsed="false">
      <c r="A207" s="13"/>
      <c r="B207" s="18"/>
      <c r="C207" s="15" t="str">
        <f aca="false">IF(B207="","",INT((B207-Settings!$B$2)/7)+1)</f>
        <v/>
      </c>
      <c r="D207" s="13"/>
      <c r="E207" s="15" t="str">
        <f aca="false">IF(A207="","",OR(D207=Settings!$B$3,AND(Settings!$B$4&lt;&gt;"",D207=Settings!$B$4)))</f>
        <v/>
      </c>
      <c r="F207" s="13"/>
      <c r="G207" s="13"/>
      <c r="H207" s="13"/>
      <c r="I207" s="13"/>
      <c r="J207" s="13"/>
      <c r="K207" s="18"/>
      <c r="L207" s="13"/>
      <c r="M207" s="15" t="str">
        <f aca="false">IF(A207="","",COUNTIFS(Quotes!$B$2:$B$301,A207,Quotes!$G$2:$G$301,"Y"))</f>
        <v/>
      </c>
      <c r="N207" s="17" t="str">
        <f aca="false">IF(A207="","",IF(M207=0,"",_xlfn.MINIFS(Quotes!$F$2:$F$301,Quotes!$B$2:$B$301,A207,Quotes!$G$2:$G$301,"Y")))</f>
        <v/>
      </c>
      <c r="O207" s="15" t="str">
        <f aca="false">IF(A207="","",AND(E207,G207="Y"))</f>
        <v/>
      </c>
      <c r="P207" s="17" t="str">
        <f aca="false">IF(A207="","",IF(AND(O207,N207&lt;&gt;""),N207,""))</f>
        <v/>
      </c>
      <c r="Q207" s="15" t="str">
        <f aca="false">IF(A207="","",COUNTIF(Picks!$A$2:$A$301,A207)&gt;0)</f>
        <v/>
      </c>
      <c r="R207" s="13"/>
      <c r="S207" s="13"/>
      <c r="T207" s="15" t="str">
        <f aca="false">IF(A207="","",COUNTIF(Nudges!$C$2:$C$301,A207)&gt;0)</f>
        <v/>
      </c>
      <c r="U207" s="8"/>
      <c r="V207" s="8"/>
    </row>
    <row r="208" customFormat="false" ht="15" hidden="false" customHeight="false" outlineLevel="0" collapsed="false">
      <c r="A208" s="13"/>
      <c r="B208" s="18"/>
      <c r="C208" s="15" t="str">
        <f aca="false">IF(B208="","",INT((B208-Settings!$B$2)/7)+1)</f>
        <v/>
      </c>
      <c r="D208" s="13"/>
      <c r="E208" s="15" t="str">
        <f aca="false">IF(A208="","",OR(D208=Settings!$B$3,AND(Settings!$B$4&lt;&gt;"",D208=Settings!$B$4)))</f>
        <v/>
      </c>
      <c r="F208" s="13"/>
      <c r="G208" s="13"/>
      <c r="H208" s="13"/>
      <c r="I208" s="13"/>
      <c r="J208" s="13"/>
      <c r="K208" s="18"/>
      <c r="L208" s="13"/>
      <c r="M208" s="15" t="str">
        <f aca="false">IF(A208="","",COUNTIFS(Quotes!$B$2:$B$301,A208,Quotes!$G$2:$G$301,"Y"))</f>
        <v/>
      </c>
      <c r="N208" s="17" t="str">
        <f aca="false">IF(A208="","",IF(M208=0,"",_xlfn.MINIFS(Quotes!$F$2:$F$301,Quotes!$B$2:$B$301,A208,Quotes!$G$2:$G$301,"Y")))</f>
        <v/>
      </c>
      <c r="O208" s="15" t="str">
        <f aca="false">IF(A208="","",AND(E208,G208="Y"))</f>
        <v/>
      </c>
      <c r="P208" s="17" t="str">
        <f aca="false">IF(A208="","",IF(AND(O208,N208&lt;&gt;""),N208,""))</f>
        <v/>
      </c>
      <c r="Q208" s="15" t="str">
        <f aca="false">IF(A208="","",COUNTIF(Picks!$A$2:$A$301,A208)&gt;0)</f>
        <v/>
      </c>
      <c r="R208" s="13"/>
      <c r="S208" s="13"/>
      <c r="T208" s="15" t="str">
        <f aca="false">IF(A208="","",COUNTIF(Nudges!$C$2:$C$301,A208)&gt;0)</f>
        <v/>
      </c>
      <c r="U208" s="8"/>
      <c r="V208" s="8"/>
    </row>
    <row r="209" customFormat="false" ht="15" hidden="false" customHeight="false" outlineLevel="0" collapsed="false">
      <c r="A209" s="13"/>
      <c r="B209" s="18"/>
      <c r="C209" s="15" t="str">
        <f aca="false">IF(B209="","",INT((B209-Settings!$B$2)/7)+1)</f>
        <v/>
      </c>
      <c r="D209" s="13"/>
      <c r="E209" s="15" t="str">
        <f aca="false">IF(A209="","",OR(D209=Settings!$B$3,AND(Settings!$B$4&lt;&gt;"",D209=Settings!$B$4)))</f>
        <v/>
      </c>
      <c r="F209" s="13"/>
      <c r="G209" s="13"/>
      <c r="H209" s="13"/>
      <c r="I209" s="13"/>
      <c r="J209" s="13"/>
      <c r="K209" s="18"/>
      <c r="L209" s="13"/>
      <c r="M209" s="15" t="str">
        <f aca="false">IF(A209="","",COUNTIFS(Quotes!$B$2:$B$301,A209,Quotes!$G$2:$G$301,"Y"))</f>
        <v/>
      </c>
      <c r="N209" s="17" t="str">
        <f aca="false">IF(A209="","",IF(M209=0,"",_xlfn.MINIFS(Quotes!$F$2:$F$301,Quotes!$B$2:$B$301,A209,Quotes!$G$2:$G$301,"Y")))</f>
        <v/>
      </c>
      <c r="O209" s="15" t="str">
        <f aca="false">IF(A209="","",AND(E209,G209="Y"))</f>
        <v/>
      </c>
      <c r="P209" s="17" t="str">
        <f aca="false">IF(A209="","",IF(AND(O209,N209&lt;&gt;""),N209,""))</f>
        <v/>
      </c>
      <c r="Q209" s="15" t="str">
        <f aca="false">IF(A209="","",COUNTIF(Picks!$A$2:$A$301,A209)&gt;0)</f>
        <v/>
      </c>
      <c r="R209" s="13"/>
      <c r="S209" s="13"/>
      <c r="T209" s="15" t="str">
        <f aca="false">IF(A209="","",COUNTIF(Nudges!$C$2:$C$301,A209)&gt;0)</f>
        <v/>
      </c>
      <c r="U209" s="8"/>
      <c r="V209" s="8"/>
    </row>
    <row r="210" customFormat="false" ht="15" hidden="false" customHeight="false" outlineLevel="0" collapsed="false">
      <c r="A210" s="13"/>
      <c r="B210" s="18"/>
      <c r="C210" s="15" t="str">
        <f aca="false">IF(B210="","",INT((B210-Settings!$B$2)/7)+1)</f>
        <v/>
      </c>
      <c r="D210" s="13"/>
      <c r="E210" s="15" t="str">
        <f aca="false">IF(A210="","",OR(D210=Settings!$B$3,AND(Settings!$B$4&lt;&gt;"",D210=Settings!$B$4)))</f>
        <v/>
      </c>
      <c r="F210" s="13"/>
      <c r="G210" s="13"/>
      <c r="H210" s="13"/>
      <c r="I210" s="13"/>
      <c r="J210" s="13"/>
      <c r="K210" s="18"/>
      <c r="L210" s="13"/>
      <c r="M210" s="15" t="str">
        <f aca="false">IF(A210="","",COUNTIFS(Quotes!$B$2:$B$301,A210,Quotes!$G$2:$G$301,"Y"))</f>
        <v/>
      </c>
      <c r="N210" s="17" t="str">
        <f aca="false">IF(A210="","",IF(M210=0,"",_xlfn.MINIFS(Quotes!$F$2:$F$301,Quotes!$B$2:$B$301,A210,Quotes!$G$2:$G$301,"Y")))</f>
        <v/>
      </c>
      <c r="O210" s="15" t="str">
        <f aca="false">IF(A210="","",AND(E210,G210="Y"))</f>
        <v/>
      </c>
      <c r="P210" s="17" t="str">
        <f aca="false">IF(A210="","",IF(AND(O210,N210&lt;&gt;""),N210,""))</f>
        <v/>
      </c>
      <c r="Q210" s="15" t="str">
        <f aca="false">IF(A210="","",COUNTIF(Picks!$A$2:$A$301,A210)&gt;0)</f>
        <v/>
      </c>
      <c r="R210" s="13"/>
      <c r="S210" s="13"/>
      <c r="T210" s="15" t="str">
        <f aca="false">IF(A210="","",COUNTIF(Nudges!$C$2:$C$301,A210)&gt;0)</f>
        <v/>
      </c>
      <c r="U210" s="8"/>
      <c r="V210" s="8"/>
    </row>
    <row r="211" customFormat="false" ht="15" hidden="false" customHeight="false" outlineLevel="0" collapsed="false">
      <c r="A211" s="13"/>
      <c r="B211" s="18"/>
      <c r="C211" s="15" t="str">
        <f aca="false">IF(B211="","",INT((B211-Settings!$B$2)/7)+1)</f>
        <v/>
      </c>
      <c r="D211" s="13"/>
      <c r="E211" s="15" t="str">
        <f aca="false">IF(A211="","",OR(D211=Settings!$B$3,AND(Settings!$B$4&lt;&gt;"",D211=Settings!$B$4)))</f>
        <v/>
      </c>
      <c r="F211" s="13"/>
      <c r="G211" s="13"/>
      <c r="H211" s="13"/>
      <c r="I211" s="13"/>
      <c r="J211" s="13"/>
      <c r="K211" s="18"/>
      <c r="L211" s="13"/>
      <c r="M211" s="15" t="str">
        <f aca="false">IF(A211="","",COUNTIFS(Quotes!$B$2:$B$301,A211,Quotes!$G$2:$G$301,"Y"))</f>
        <v/>
      </c>
      <c r="N211" s="17" t="str">
        <f aca="false">IF(A211="","",IF(M211=0,"",_xlfn.MINIFS(Quotes!$F$2:$F$301,Quotes!$B$2:$B$301,A211,Quotes!$G$2:$G$301,"Y")))</f>
        <v/>
      </c>
      <c r="O211" s="15" t="str">
        <f aca="false">IF(A211="","",AND(E211,G211="Y"))</f>
        <v/>
      </c>
      <c r="P211" s="17" t="str">
        <f aca="false">IF(A211="","",IF(AND(O211,N211&lt;&gt;""),N211,""))</f>
        <v/>
      </c>
      <c r="Q211" s="15" t="str">
        <f aca="false">IF(A211="","",COUNTIF(Picks!$A$2:$A$301,A211)&gt;0)</f>
        <v/>
      </c>
      <c r="R211" s="13"/>
      <c r="S211" s="13"/>
      <c r="T211" s="15" t="str">
        <f aca="false">IF(A211="","",COUNTIF(Nudges!$C$2:$C$301,A211)&gt;0)</f>
        <v/>
      </c>
      <c r="U211" s="8"/>
      <c r="V211" s="8"/>
    </row>
    <row r="212" customFormat="false" ht="15" hidden="false" customHeight="false" outlineLevel="0" collapsed="false">
      <c r="A212" s="13"/>
      <c r="B212" s="18"/>
      <c r="C212" s="15" t="str">
        <f aca="false">IF(B212="","",INT((B212-Settings!$B$2)/7)+1)</f>
        <v/>
      </c>
      <c r="D212" s="13"/>
      <c r="E212" s="15" t="str">
        <f aca="false">IF(A212="","",OR(D212=Settings!$B$3,AND(Settings!$B$4&lt;&gt;"",D212=Settings!$B$4)))</f>
        <v/>
      </c>
      <c r="F212" s="13"/>
      <c r="G212" s="13"/>
      <c r="H212" s="13"/>
      <c r="I212" s="13"/>
      <c r="J212" s="13"/>
      <c r="K212" s="18"/>
      <c r="L212" s="13"/>
      <c r="M212" s="15" t="str">
        <f aca="false">IF(A212="","",COUNTIFS(Quotes!$B$2:$B$301,A212,Quotes!$G$2:$G$301,"Y"))</f>
        <v/>
      </c>
      <c r="N212" s="17" t="str">
        <f aca="false">IF(A212="","",IF(M212=0,"",_xlfn.MINIFS(Quotes!$F$2:$F$301,Quotes!$B$2:$B$301,A212,Quotes!$G$2:$G$301,"Y")))</f>
        <v/>
      </c>
      <c r="O212" s="15" t="str">
        <f aca="false">IF(A212="","",AND(E212,G212="Y"))</f>
        <v/>
      </c>
      <c r="P212" s="17" t="str">
        <f aca="false">IF(A212="","",IF(AND(O212,N212&lt;&gt;""),N212,""))</f>
        <v/>
      </c>
      <c r="Q212" s="15" t="str">
        <f aca="false">IF(A212="","",COUNTIF(Picks!$A$2:$A$301,A212)&gt;0)</f>
        <v/>
      </c>
      <c r="R212" s="13"/>
      <c r="S212" s="13"/>
      <c r="T212" s="15" t="str">
        <f aca="false">IF(A212="","",COUNTIF(Nudges!$C$2:$C$301,A212)&gt;0)</f>
        <v/>
      </c>
      <c r="U212" s="8"/>
      <c r="V212" s="8"/>
    </row>
    <row r="213" customFormat="false" ht="15" hidden="false" customHeight="false" outlineLevel="0" collapsed="false">
      <c r="A213" s="13"/>
      <c r="B213" s="18"/>
      <c r="C213" s="15" t="str">
        <f aca="false">IF(B213="","",INT((B213-Settings!$B$2)/7)+1)</f>
        <v/>
      </c>
      <c r="D213" s="13"/>
      <c r="E213" s="15" t="str">
        <f aca="false">IF(A213="","",OR(D213=Settings!$B$3,AND(Settings!$B$4&lt;&gt;"",D213=Settings!$B$4)))</f>
        <v/>
      </c>
      <c r="F213" s="13"/>
      <c r="G213" s="13"/>
      <c r="H213" s="13"/>
      <c r="I213" s="13"/>
      <c r="J213" s="13"/>
      <c r="K213" s="18"/>
      <c r="L213" s="13"/>
      <c r="M213" s="15" t="str">
        <f aca="false">IF(A213="","",COUNTIFS(Quotes!$B$2:$B$301,A213,Quotes!$G$2:$G$301,"Y"))</f>
        <v/>
      </c>
      <c r="N213" s="17" t="str">
        <f aca="false">IF(A213="","",IF(M213=0,"",_xlfn.MINIFS(Quotes!$F$2:$F$301,Quotes!$B$2:$B$301,A213,Quotes!$G$2:$G$301,"Y")))</f>
        <v/>
      </c>
      <c r="O213" s="15" t="str">
        <f aca="false">IF(A213="","",AND(E213,G213="Y"))</f>
        <v/>
      </c>
      <c r="P213" s="17" t="str">
        <f aca="false">IF(A213="","",IF(AND(O213,N213&lt;&gt;""),N213,""))</f>
        <v/>
      </c>
      <c r="Q213" s="15" t="str">
        <f aca="false">IF(A213="","",COUNTIF(Picks!$A$2:$A$301,A213)&gt;0)</f>
        <v/>
      </c>
      <c r="R213" s="13"/>
      <c r="S213" s="13"/>
      <c r="T213" s="15" t="str">
        <f aca="false">IF(A213="","",COUNTIF(Nudges!$C$2:$C$301,A213)&gt;0)</f>
        <v/>
      </c>
      <c r="U213" s="8"/>
      <c r="V213" s="8"/>
    </row>
    <row r="214" customFormat="false" ht="15" hidden="false" customHeight="false" outlineLevel="0" collapsed="false">
      <c r="A214" s="13"/>
      <c r="B214" s="18"/>
      <c r="C214" s="15" t="str">
        <f aca="false">IF(B214="","",INT((B214-Settings!$B$2)/7)+1)</f>
        <v/>
      </c>
      <c r="D214" s="13"/>
      <c r="E214" s="15" t="str">
        <f aca="false">IF(A214="","",OR(D214=Settings!$B$3,AND(Settings!$B$4&lt;&gt;"",D214=Settings!$B$4)))</f>
        <v/>
      </c>
      <c r="F214" s="13"/>
      <c r="G214" s="13"/>
      <c r="H214" s="13"/>
      <c r="I214" s="13"/>
      <c r="J214" s="13"/>
      <c r="K214" s="18"/>
      <c r="L214" s="13"/>
      <c r="M214" s="15" t="str">
        <f aca="false">IF(A214="","",COUNTIFS(Quotes!$B$2:$B$301,A214,Quotes!$G$2:$G$301,"Y"))</f>
        <v/>
      </c>
      <c r="N214" s="17" t="str">
        <f aca="false">IF(A214="","",IF(M214=0,"",_xlfn.MINIFS(Quotes!$F$2:$F$301,Quotes!$B$2:$B$301,A214,Quotes!$G$2:$G$301,"Y")))</f>
        <v/>
      </c>
      <c r="O214" s="15" t="str">
        <f aca="false">IF(A214="","",AND(E214,G214="Y"))</f>
        <v/>
      </c>
      <c r="P214" s="17" t="str">
        <f aca="false">IF(A214="","",IF(AND(O214,N214&lt;&gt;""),N214,""))</f>
        <v/>
      </c>
      <c r="Q214" s="15" t="str">
        <f aca="false">IF(A214="","",COUNTIF(Picks!$A$2:$A$301,A214)&gt;0)</f>
        <v/>
      </c>
      <c r="R214" s="13"/>
      <c r="S214" s="13"/>
      <c r="T214" s="15" t="str">
        <f aca="false">IF(A214="","",COUNTIF(Nudges!$C$2:$C$301,A214)&gt;0)</f>
        <v/>
      </c>
      <c r="U214" s="8"/>
      <c r="V214" s="8"/>
    </row>
    <row r="215" customFormat="false" ht="15" hidden="false" customHeight="false" outlineLevel="0" collapsed="false">
      <c r="A215" s="13"/>
      <c r="B215" s="18"/>
      <c r="C215" s="15" t="str">
        <f aca="false">IF(B215="","",INT((B215-Settings!$B$2)/7)+1)</f>
        <v/>
      </c>
      <c r="D215" s="13"/>
      <c r="E215" s="15" t="str">
        <f aca="false">IF(A215="","",OR(D215=Settings!$B$3,AND(Settings!$B$4&lt;&gt;"",D215=Settings!$B$4)))</f>
        <v/>
      </c>
      <c r="F215" s="13"/>
      <c r="G215" s="13"/>
      <c r="H215" s="13"/>
      <c r="I215" s="13"/>
      <c r="J215" s="13"/>
      <c r="K215" s="18"/>
      <c r="L215" s="13"/>
      <c r="M215" s="15" t="str">
        <f aca="false">IF(A215="","",COUNTIFS(Quotes!$B$2:$B$301,A215,Quotes!$G$2:$G$301,"Y"))</f>
        <v/>
      </c>
      <c r="N215" s="17" t="str">
        <f aca="false">IF(A215="","",IF(M215=0,"",_xlfn.MINIFS(Quotes!$F$2:$F$301,Quotes!$B$2:$B$301,A215,Quotes!$G$2:$G$301,"Y")))</f>
        <v/>
      </c>
      <c r="O215" s="15" t="str">
        <f aca="false">IF(A215="","",AND(E215,G215="Y"))</f>
        <v/>
      </c>
      <c r="P215" s="17" t="str">
        <f aca="false">IF(A215="","",IF(AND(O215,N215&lt;&gt;""),N215,""))</f>
        <v/>
      </c>
      <c r="Q215" s="15" t="str">
        <f aca="false">IF(A215="","",COUNTIF(Picks!$A$2:$A$301,A215)&gt;0)</f>
        <v/>
      </c>
      <c r="R215" s="13"/>
      <c r="S215" s="13"/>
      <c r="T215" s="15" t="str">
        <f aca="false">IF(A215="","",COUNTIF(Nudges!$C$2:$C$301,A215)&gt;0)</f>
        <v/>
      </c>
      <c r="U215" s="8"/>
      <c r="V215" s="8"/>
    </row>
    <row r="216" customFormat="false" ht="15" hidden="false" customHeight="false" outlineLevel="0" collapsed="false">
      <c r="A216" s="13"/>
      <c r="B216" s="18"/>
      <c r="C216" s="15" t="str">
        <f aca="false">IF(B216="","",INT((B216-Settings!$B$2)/7)+1)</f>
        <v/>
      </c>
      <c r="D216" s="13"/>
      <c r="E216" s="15" t="str">
        <f aca="false">IF(A216="","",OR(D216=Settings!$B$3,AND(Settings!$B$4&lt;&gt;"",D216=Settings!$B$4)))</f>
        <v/>
      </c>
      <c r="F216" s="13"/>
      <c r="G216" s="13"/>
      <c r="H216" s="13"/>
      <c r="I216" s="13"/>
      <c r="J216" s="13"/>
      <c r="K216" s="18"/>
      <c r="L216" s="13"/>
      <c r="M216" s="15" t="str">
        <f aca="false">IF(A216="","",COUNTIFS(Quotes!$B$2:$B$301,A216,Quotes!$G$2:$G$301,"Y"))</f>
        <v/>
      </c>
      <c r="N216" s="17" t="str">
        <f aca="false">IF(A216="","",IF(M216=0,"",_xlfn.MINIFS(Quotes!$F$2:$F$301,Quotes!$B$2:$B$301,A216,Quotes!$G$2:$G$301,"Y")))</f>
        <v/>
      </c>
      <c r="O216" s="15" t="str">
        <f aca="false">IF(A216="","",AND(E216,G216="Y"))</f>
        <v/>
      </c>
      <c r="P216" s="17" t="str">
        <f aca="false">IF(A216="","",IF(AND(O216,N216&lt;&gt;""),N216,""))</f>
        <v/>
      </c>
      <c r="Q216" s="15" t="str">
        <f aca="false">IF(A216="","",COUNTIF(Picks!$A$2:$A$301,A216)&gt;0)</f>
        <v/>
      </c>
      <c r="R216" s="13"/>
      <c r="S216" s="13"/>
      <c r="T216" s="15" t="str">
        <f aca="false">IF(A216="","",COUNTIF(Nudges!$C$2:$C$301,A216)&gt;0)</f>
        <v/>
      </c>
      <c r="U216" s="8"/>
      <c r="V216" s="8"/>
    </row>
    <row r="217" customFormat="false" ht="15" hidden="false" customHeight="false" outlineLevel="0" collapsed="false">
      <c r="A217" s="13"/>
      <c r="B217" s="18"/>
      <c r="C217" s="15" t="str">
        <f aca="false">IF(B217="","",INT((B217-Settings!$B$2)/7)+1)</f>
        <v/>
      </c>
      <c r="D217" s="13"/>
      <c r="E217" s="15" t="str">
        <f aca="false">IF(A217="","",OR(D217=Settings!$B$3,AND(Settings!$B$4&lt;&gt;"",D217=Settings!$B$4)))</f>
        <v/>
      </c>
      <c r="F217" s="13"/>
      <c r="G217" s="13"/>
      <c r="H217" s="13"/>
      <c r="I217" s="13"/>
      <c r="J217" s="13"/>
      <c r="K217" s="18"/>
      <c r="L217" s="13"/>
      <c r="M217" s="15" t="str">
        <f aca="false">IF(A217="","",COUNTIFS(Quotes!$B$2:$B$301,A217,Quotes!$G$2:$G$301,"Y"))</f>
        <v/>
      </c>
      <c r="N217" s="17" t="str">
        <f aca="false">IF(A217="","",IF(M217=0,"",_xlfn.MINIFS(Quotes!$F$2:$F$301,Quotes!$B$2:$B$301,A217,Quotes!$G$2:$G$301,"Y")))</f>
        <v/>
      </c>
      <c r="O217" s="15" t="str">
        <f aca="false">IF(A217="","",AND(E217,G217="Y"))</f>
        <v/>
      </c>
      <c r="P217" s="17" t="str">
        <f aca="false">IF(A217="","",IF(AND(O217,N217&lt;&gt;""),N217,""))</f>
        <v/>
      </c>
      <c r="Q217" s="15" t="str">
        <f aca="false">IF(A217="","",COUNTIF(Picks!$A$2:$A$301,A217)&gt;0)</f>
        <v/>
      </c>
      <c r="R217" s="13"/>
      <c r="S217" s="13"/>
      <c r="T217" s="15" t="str">
        <f aca="false">IF(A217="","",COUNTIF(Nudges!$C$2:$C$301,A217)&gt;0)</f>
        <v/>
      </c>
      <c r="U217" s="8"/>
      <c r="V217" s="8"/>
    </row>
    <row r="218" customFormat="false" ht="15" hidden="false" customHeight="false" outlineLevel="0" collapsed="false">
      <c r="A218" s="13"/>
      <c r="B218" s="18"/>
      <c r="C218" s="15" t="str">
        <f aca="false">IF(B218="","",INT((B218-Settings!$B$2)/7)+1)</f>
        <v/>
      </c>
      <c r="D218" s="13"/>
      <c r="E218" s="15" t="str">
        <f aca="false">IF(A218="","",OR(D218=Settings!$B$3,AND(Settings!$B$4&lt;&gt;"",D218=Settings!$B$4)))</f>
        <v/>
      </c>
      <c r="F218" s="13"/>
      <c r="G218" s="13"/>
      <c r="H218" s="13"/>
      <c r="I218" s="13"/>
      <c r="J218" s="13"/>
      <c r="K218" s="18"/>
      <c r="L218" s="13"/>
      <c r="M218" s="15" t="str">
        <f aca="false">IF(A218="","",COUNTIFS(Quotes!$B$2:$B$301,A218,Quotes!$G$2:$G$301,"Y"))</f>
        <v/>
      </c>
      <c r="N218" s="17" t="str">
        <f aca="false">IF(A218="","",IF(M218=0,"",_xlfn.MINIFS(Quotes!$F$2:$F$301,Quotes!$B$2:$B$301,A218,Quotes!$G$2:$G$301,"Y")))</f>
        <v/>
      </c>
      <c r="O218" s="15" t="str">
        <f aca="false">IF(A218="","",AND(E218,G218="Y"))</f>
        <v/>
      </c>
      <c r="P218" s="17" t="str">
        <f aca="false">IF(A218="","",IF(AND(O218,N218&lt;&gt;""),N218,""))</f>
        <v/>
      </c>
      <c r="Q218" s="15" t="str">
        <f aca="false">IF(A218="","",COUNTIF(Picks!$A$2:$A$301,A218)&gt;0)</f>
        <v/>
      </c>
      <c r="R218" s="13"/>
      <c r="S218" s="13"/>
      <c r="T218" s="15" t="str">
        <f aca="false">IF(A218="","",COUNTIF(Nudges!$C$2:$C$301,A218)&gt;0)</f>
        <v/>
      </c>
      <c r="U218" s="8"/>
      <c r="V218" s="8"/>
    </row>
    <row r="219" customFormat="false" ht="15" hidden="false" customHeight="false" outlineLevel="0" collapsed="false">
      <c r="A219" s="13"/>
      <c r="B219" s="18"/>
      <c r="C219" s="15" t="str">
        <f aca="false">IF(B219="","",INT((B219-Settings!$B$2)/7)+1)</f>
        <v/>
      </c>
      <c r="D219" s="13"/>
      <c r="E219" s="15" t="str">
        <f aca="false">IF(A219="","",OR(D219=Settings!$B$3,AND(Settings!$B$4&lt;&gt;"",D219=Settings!$B$4)))</f>
        <v/>
      </c>
      <c r="F219" s="13"/>
      <c r="G219" s="13"/>
      <c r="H219" s="13"/>
      <c r="I219" s="13"/>
      <c r="J219" s="13"/>
      <c r="K219" s="18"/>
      <c r="L219" s="13"/>
      <c r="M219" s="15" t="str">
        <f aca="false">IF(A219="","",COUNTIFS(Quotes!$B$2:$B$301,A219,Quotes!$G$2:$G$301,"Y"))</f>
        <v/>
      </c>
      <c r="N219" s="17" t="str">
        <f aca="false">IF(A219="","",IF(M219=0,"",_xlfn.MINIFS(Quotes!$F$2:$F$301,Quotes!$B$2:$B$301,A219,Quotes!$G$2:$G$301,"Y")))</f>
        <v/>
      </c>
      <c r="O219" s="15" t="str">
        <f aca="false">IF(A219="","",AND(E219,G219="Y"))</f>
        <v/>
      </c>
      <c r="P219" s="17" t="str">
        <f aca="false">IF(A219="","",IF(AND(O219,N219&lt;&gt;""),N219,""))</f>
        <v/>
      </c>
      <c r="Q219" s="15" t="str">
        <f aca="false">IF(A219="","",COUNTIF(Picks!$A$2:$A$301,A219)&gt;0)</f>
        <v/>
      </c>
      <c r="R219" s="13"/>
      <c r="S219" s="13"/>
      <c r="T219" s="15" t="str">
        <f aca="false">IF(A219="","",COUNTIF(Nudges!$C$2:$C$301,A219)&gt;0)</f>
        <v/>
      </c>
      <c r="U219" s="8"/>
      <c r="V219" s="8"/>
    </row>
    <row r="220" customFormat="false" ht="15" hidden="false" customHeight="false" outlineLevel="0" collapsed="false">
      <c r="A220" s="13"/>
      <c r="B220" s="18"/>
      <c r="C220" s="15" t="str">
        <f aca="false">IF(B220="","",INT((B220-Settings!$B$2)/7)+1)</f>
        <v/>
      </c>
      <c r="D220" s="13"/>
      <c r="E220" s="15" t="str">
        <f aca="false">IF(A220="","",OR(D220=Settings!$B$3,AND(Settings!$B$4&lt;&gt;"",D220=Settings!$B$4)))</f>
        <v/>
      </c>
      <c r="F220" s="13"/>
      <c r="G220" s="13"/>
      <c r="H220" s="13"/>
      <c r="I220" s="13"/>
      <c r="J220" s="13"/>
      <c r="K220" s="18"/>
      <c r="L220" s="13"/>
      <c r="M220" s="15" t="str">
        <f aca="false">IF(A220="","",COUNTIFS(Quotes!$B$2:$B$301,A220,Quotes!$G$2:$G$301,"Y"))</f>
        <v/>
      </c>
      <c r="N220" s="17" t="str">
        <f aca="false">IF(A220="","",IF(M220=0,"",_xlfn.MINIFS(Quotes!$F$2:$F$301,Quotes!$B$2:$B$301,A220,Quotes!$G$2:$G$301,"Y")))</f>
        <v/>
      </c>
      <c r="O220" s="15" t="str">
        <f aca="false">IF(A220="","",AND(E220,G220="Y"))</f>
        <v/>
      </c>
      <c r="P220" s="17" t="str">
        <f aca="false">IF(A220="","",IF(AND(O220,N220&lt;&gt;""),N220,""))</f>
        <v/>
      </c>
      <c r="Q220" s="15" t="str">
        <f aca="false">IF(A220="","",COUNTIF(Picks!$A$2:$A$301,A220)&gt;0)</f>
        <v/>
      </c>
      <c r="R220" s="13"/>
      <c r="S220" s="13"/>
      <c r="T220" s="15" t="str">
        <f aca="false">IF(A220="","",COUNTIF(Nudges!$C$2:$C$301,A220)&gt;0)</f>
        <v/>
      </c>
      <c r="U220" s="8"/>
      <c r="V220" s="8"/>
    </row>
    <row r="221" customFormat="false" ht="15" hidden="false" customHeight="false" outlineLevel="0" collapsed="false">
      <c r="A221" s="13"/>
      <c r="B221" s="18"/>
      <c r="C221" s="15" t="str">
        <f aca="false">IF(B221="","",INT((B221-Settings!$B$2)/7)+1)</f>
        <v/>
      </c>
      <c r="D221" s="13"/>
      <c r="E221" s="15" t="str">
        <f aca="false">IF(A221="","",OR(D221=Settings!$B$3,AND(Settings!$B$4&lt;&gt;"",D221=Settings!$B$4)))</f>
        <v/>
      </c>
      <c r="F221" s="13"/>
      <c r="G221" s="13"/>
      <c r="H221" s="13"/>
      <c r="I221" s="13"/>
      <c r="J221" s="13"/>
      <c r="K221" s="18"/>
      <c r="L221" s="13"/>
      <c r="M221" s="15" t="str">
        <f aca="false">IF(A221="","",COUNTIFS(Quotes!$B$2:$B$301,A221,Quotes!$G$2:$G$301,"Y"))</f>
        <v/>
      </c>
      <c r="N221" s="17" t="str">
        <f aca="false">IF(A221="","",IF(M221=0,"",_xlfn.MINIFS(Quotes!$F$2:$F$301,Quotes!$B$2:$B$301,A221,Quotes!$G$2:$G$301,"Y")))</f>
        <v/>
      </c>
      <c r="O221" s="15" t="str">
        <f aca="false">IF(A221="","",AND(E221,G221="Y"))</f>
        <v/>
      </c>
      <c r="P221" s="17" t="str">
        <f aca="false">IF(A221="","",IF(AND(O221,N221&lt;&gt;""),N221,""))</f>
        <v/>
      </c>
      <c r="Q221" s="15" t="str">
        <f aca="false">IF(A221="","",COUNTIF(Picks!$A$2:$A$301,A221)&gt;0)</f>
        <v/>
      </c>
      <c r="R221" s="13"/>
      <c r="S221" s="13"/>
      <c r="T221" s="15" t="str">
        <f aca="false">IF(A221="","",COUNTIF(Nudges!$C$2:$C$301,A221)&gt;0)</f>
        <v/>
      </c>
      <c r="U221" s="8"/>
      <c r="V221" s="8"/>
    </row>
    <row r="222" customFormat="false" ht="15" hidden="false" customHeight="false" outlineLevel="0" collapsed="false">
      <c r="A222" s="13"/>
      <c r="B222" s="18"/>
      <c r="C222" s="15" t="str">
        <f aca="false">IF(B222="","",INT((B222-Settings!$B$2)/7)+1)</f>
        <v/>
      </c>
      <c r="D222" s="13"/>
      <c r="E222" s="15" t="str">
        <f aca="false">IF(A222="","",OR(D222=Settings!$B$3,AND(Settings!$B$4&lt;&gt;"",D222=Settings!$B$4)))</f>
        <v/>
      </c>
      <c r="F222" s="13"/>
      <c r="G222" s="13"/>
      <c r="H222" s="13"/>
      <c r="I222" s="13"/>
      <c r="J222" s="13"/>
      <c r="K222" s="18"/>
      <c r="L222" s="13"/>
      <c r="M222" s="15" t="str">
        <f aca="false">IF(A222="","",COUNTIFS(Quotes!$B$2:$B$301,A222,Quotes!$G$2:$G$301,"Y"))</f>
        <v/>
      </c>
      <c r="N222" s="17" t="str">
        <f aca="false">IF(A222="","",IF(M222=0,"",_xlfn.MINIFS(Quotes!$F$2:$F$301,Quotes!$B$2:$B$301,A222,Quotes!$G$2:$G$301,"Y")))</f>
        <v/>
      </c>
      <c r="O222" s="15" t="str">
        <f aca="false">IF(A222="","",AND(E222,G222="Y"))</f>
        <v/>
      </c>
      <c r="P222" s="17" t="str">
        <f aca="false">IF(A222="","",IF(AND(O222,N222&lt;&gt;""),N222,""))</f>
        <v/>
      </c>
      <c r="Q222" s="15" t="str">
        <f aca="false">IF(A222="","",COUNTIF(Picks!$A$2:$A$301,A222)&gt;0)</f>
        <v/>
      </c>
      <c r="R222" s="13"/>
      <c r="S222" s="13"/>
      <c r="T222" s="15" t="str">
        <f aca="false">IF(A222="","",COUNTIF(Nudges!$C$2:$C$301,A222)&gt;0)</f>
        <v/>
      </c>
      <c r="U222" s="8"/>
      <c r="V222" s="8"/>
    </row>
    <row r="223" customFormat="false" ht="15" hidden="false" customHeight="false" outlineLevel="0" collapsed="false">
      <c r="A223" s="13"/>
      <c r="B223" s="18"/>
      <c r="C223" s="15" t="str">
        <f aca="false">IF(B223="","",INT((B223-Settings!$B$2)/7)+1)</f>
        <v/>
      </c>
      <c r="D223" s="13"/>
      <c r="E223" s="15" t="str">
        <f aca="false">IF(A223="","",OR(D223=Settings!$B$3,AND(Settings!$B$4&lt;&gt;"",D223=Settings!$B$4)))</f>
        <v/>
      </c>
      <c r="F223" s="13"/>
      <c r="G223" s="13"/>
      <c r="H223" s="13"/>
      <c r="I223" s="13"/>
      <c r="J223" s="13"/>
      <c r="K223" s="18"/>
      <c r="L223" s="13"/>
      <c r="M223" s="15" t="str">
        <f aca="false">IF(A223="","",COUNTIFS(Quotes!$B$2:$B$301,A223,Quotes!$G$2:$G$301,"Y"))</f>
        <v/>
      </c>
      <c r="N223" s="17" t="str">
        <f aca="false">IF(A223="","",IF(M223=0,"",_xlfn.MINIFS(Quotes!$F$2:$F$301,Quotes!$B$2:$B$301,A223,Quotes!$G$2:$G$301,"Y")))</f>
        <v/>
      </c>
      <c r="O223" s="15" t="str">
        <f aca="false">IF(A223="","",AND(E223,G223="Y"))</f>
        <v/>
      </c>
      <c r="P223" s="17" t="str">
        <f aca="false">IF(A223="","",IF(AND(O223,N223&lt;&gt;""),N223,""))</f>
        <v/>
      </c>
      <c r="Q223" s="15" t="str">
        <f aca="false">IF(A223="","",COUNTIF(Picks!$A$2:$A$301,A223)&gt;0)</f>
        <v/>
      </c>
      <c r="R223" s="13"/>
      <c r="S223" s="13"/>
      <c r="T223" s="15" t="str">
        <f aca="false">IF(A223="","",COUNTIF(Nudges!$C$2:$C$301,A223)&gt;0)</f>
        <v/>
      </c>
      <c r="U223" s="8"/>
      <c r="V223" s="8"/>
    </row>
    <row r="224" customFormat="false" ht="15" hidden="false" customHeight="false" outlineLevel="0" collapsed="false">
      <c r="A224" s="13"/>
      <c r="B224" s="18"/>
      <c r="C224" s="15" t="str">
        <f aca="false">IF(B224="","",INT((B224-Settings!$B$2)/7)+1)</f>
        <v/>
      </c>
      <c r="D224" s="13"/>
      <c r="E224" s="15" t="str">
        <f aca="false">IF(A224="","",OR(D224=Settings!$B$3,AND(Settings!$B$4&lt;&gt;"",D224=Settings!$B$4)))</f>
        <v/>
      </c>
      <c r="F224" s="13"/>
      <c r="G224" s="13"/>
      <c r="H224" s="13"/>
      <c r="I224" s="13"/>
      <c r="J224" s="13"/>
      <c r="K224" s="18"/>
      <c r="L224" s="13"/>
      <c r="M224" s="15" t="str">
        <f aca="false">IF(A224="","",COUNTIFS(Quotes!$B$2:$B$301,A224,Quotes!$G$2:$G$301,"Y"))</f>
        <v/>
      </c>
      <c r="N224" s="17" t="str">
        <f aca="false">IF(A224="","",IF(M224=0,"",_xlfn.MINIFS(Quotes!$F$2:$F$301,Quotes!$B$2:$B$301,A224,Quotes!$G$2:$G$301,"Y")))</f>
        <v/>
      </c>
      <c r="O224" s="15" t="str">
        <f aca="false">IF(A224="","",AND(E224,G224="Y"))</f>
        <v/>
      </c>
      <c r="P224" s="17" t="str">
        <f aca="false">IF(A224="","",IF(AND(O224,N224&lt;&gt;""),N224,""))</f>
        <v/>
      </c>
      <c r="Q224" s="15" t="str">
        <f aca="false">IF(A224="","",COUNTIF(Picks!$A$2:$A$301,A224)&gt;0)</f>
        <v/>
      </c>
      <c r="R224" s="13"/>
      <c r="S224" s="13"/>
      <c r="T224" s="15" t="str">
        <f aca="false">IF(A224="","",COUNTIF(Nudges!$C$2:$C$301,A224)&gt;0)</f>
        <v/>
      </c>
      <c r="U224" s="8"/>
      <c r="V224" s="8"/>
    </row>
    <row r="225" customFormat="false" ht="15" hidden="false" customHeight="false" outlineLevel="0" collapsed="false">
      <c r="A225" s="13"/>
      <c r="B225" s="18"/>
      <c r="C225" s="15" t="str">
        <f aca="false">IF(B225="","",INT((B225-Settings!$B$2)/7)+1)</f>
        <v/>
      </c>
      <c r="D225" s="13"/>
      <c r="E225" s="15" t="str">
        <f aca="false">IF(A225="","",OR(D225=Settings!$B$3,AND(Settings!$B$4&lt;&gt;"",D225=Settings!$B$4)))</f>
        <v/>
      </c>
      <c r="F225" s="13"/>
      <c r="G225" s="13"/>
      <c r="H225" s="13"/>
      <c r="I225" s="13"/>
      <c r="J225" s="13"/>
      <c r="K225" s="18"/>
      <c r="L225" s="13"/>
      <c r="M225" s="15" t="str">
        <f aca="false">IF(A225="","",COUNTIFS(Quotes!$B$2:$B$301,A225,Quotes!$G$2:$G$301,"Y"))</f>
        <v/>
      </c>
      <c r="N225" s="17" t="str">
        <f aca="false">IF(A225="","",IF(M225=0,"",_xlfn.MINIFS(Quotes!$F$2:$F$301,Quotes!$B$2:$B$301,A225,Quotes!$G$2:$G$301,"Y")))</f>
        <v/>
      </c>
      <c r="O225" s="15" t="str">
        <f aca="false">IF(A225="","",AND(E225,G225="Y"))</f>
        <v/>
      </c>
      <c r="P225" s="17" t="str">
        <f aca="false">IF(A225="","",IF(AND(O225,N225&lt;&gt;""),N225,""))</f>
        <v/>
      </c>
      <c r="Q225" s="15" t="str">
        <f aca="false">IF(A225="","",COUNTIF(Picks!$A$2:$A$301,A225)&gt;0)</f>
        <v/>
      </c>
      <c r="R225" s="13"/>
      <c r="S225" s="13"/>
      <c r="T225" s="15" t="str">
        <f aca="false">IF(A225="","",COUNTIF(Nudges!$C$2:$C$301,A225)&gt;0)</f>
        <v/>
      </c>
      <c r="U225" s="8"/>
      <c r="V225" s="8"/>
    </row>
    <row r="226" customFormat="false" ht="15" hidden="false" customHeight="false" outlineLevel="0" collapsed="false">
      <c r="A226" s="13"/>
      <c r="B226" s="18"/>
      <c r="C226" s="15" t="str">
        <f aca="false">IF(B226="","",INT((B226-Settings!$B$2)/7)+1)</f>
        <v/>
      </c>
      <c r="D226" s="13"/>
      <c r="E226" s="15" t="str">
        <f aca="false">IF(A226="","",OR(D226=Settings!$B$3,AND(Settings!$B$4&lt;&gt;"",D226=Settings!$B$4)))</f>
        <v/>
      </c>
      <c r="F226" s="13"/>
      <c r="G226" s="13"/>
      <c r="H226" s="13"/>
      <c r="I226" s="13"/>
      <c r="J226" s="13"/>
      <c r="K226" s="18"/>
      <c r="L226" s="13"/>
      <c r="M226" s="15" t="str">
        <f aca="false">IF(A226="","",COUNTIFS(Quotes!$B$2:$B$301,A226,Quotes!$G$2:$G$301,"Y"))</f>
        <v/>
      </c>
      <c r="N226" s="17" t="str">
        <f aca="false">IF(A226="","",IF(M226=0,"",_xlfn.MINIFS(Quotes!$F$2:$F$301,Quotes!$B$2:$B$301,A226,Quotes!$G$2:$G$301,"Y")))</f>
        <v/>
      </c>
      <c r="O226" s="15" t="str">
        <f aca="false">IF(A226="","",AND(E226,G226="Y"))</f>
        <v/>
      </c>
      <c r="P226" s="17" t="str">
        <f aca="false">IF(A226="","",IF(AND(O226,N226&lt;&gt;""),N226,""))</f>
        <v/>
      </c>
      <c r="Q226" s="15" t="str">
        <f aca="false">IF(A226="","",COUNTIF(Picks!$A$2:$A$301,A226)&gt;0)</f>
        <v/>
      </c>
      <c r="R226" s="13"/>
      <c r="S226" s="13"/>
      <c r="T226" s="15" t="str">
        <f aca="false">IF(A226="","",COUNTIF(Nudges!$C$2:$C$301,A226)&gt;0)</f>
        <v/>
      </c>
      <c r="U226" s="8"/>
      <c r="V226" s="8"/>
    </row>
    <row r="227" customFormat="false" ht="15" hidden="false" customHeight="false" outlineLevel="0" collapsed="false">
      <c r="A227" s="13"/>
      <c r="B227" s="18"/>
      <c r="C227" s="15" t="str">
        <f aca="false">IF(B227="","",INT((B227-Settings!$B$2)/7)+1)</f>
        <v/>
      </c>
      <c r="D227" s="13"/>
      <c r="E227" s="15" t="str">
        <f aca="false">IF(A227="","",OR(D227=Settings!$B$3,AND(Settings!$B$4&lt;&gt;"",D227=Settings!$B$4)))</f>
        <v/>
      </c>
      <c r="F227" s="13"/>
      <c r="G227" s="13"/>
      <c r="H227" s="13"/>
      <c r="I227" s="13"/>
      <c r="J227" s="13"/>
      <c r="K227" s="18"/>
      <c r="L227" s="13"/>
      <c r="M227" s="15" t="str">
        <f aca="false">IF(A227="","",COUNTIFS(Quotes!$B$2:$B$301,A227,Quotes!$G$2:$G$301,"Y"))</f>
        <v/>
      </c>
      <c r="N227" s="17" t="str">
        <f aca="false">IF(A227="","",IF(M227=0,"",_xlfn.MINIFS(Quotes!$F$2:$F$301,Quotes!$B$2:$B$301,A227,Quotes!$G$2:$G$301,"Y")))</f>
        <v/>
      </c>
      <c r="O227" s="15" t="str">
        <f aca="false">IF(A227="","",AND(E227,G227="Y"))</f>
        <v/>
      </c>
      <c r="P227" s="17" t="str">
        <f aca="false">IF(A227="","",IF(AND(O227,N227&lt;&gt;""),N227,""))</f>
        <v/>
      </c>
      <c r="Q227" s="15" t="str">
        <f aca="false">IF(A227="","",COUNTIF(Picks!$A$2:$A$301,A227)&gt;0)</f>
        <v/>
      </c>
      <c r="R227" s="13"/>
      <c r="S227" s="13"/>
      <c r="T227" s="15" t="str">
        <f aca="false">IF(A227="","",COUNTIF(Nudges!$C$2:$C$301,A227)&gt;0)</f>
        <v/>
      </c>
      <c r="U227" s="8"/>
      <c r="V227" s="8"/>
    </row>
    <row r="228" customFormat="false" ht="15" hidden="false" customHeight="false" outlineLevel="0" collapsed="false">
      <c r="A228" s="13"/>
      <c r="B228" s="18"/>
      <c r="C228" s="15" t="str">
        <f aca="false">IF(B228="","",INT((B228-Settings!$B$2)/7)+1)</f>
        <v/>
      </c>
      <c r="D228" s="13"/>
      <c r="E228" s="15" t="str">
        <f aca="false">IF(A228="","",OR(D228=Settings!$B$3,AND(Settings!$B$4&lt;&gt;"",D228=Settings!$B$4)))</f>
        <v/>
      </c>
      <c r="F228" s="13"/>
      <c r="G228" s="13"/>
      <c r="H228" s="13"/>
      <c r="I228" s="13"/>
      <c r="J228" s="13"/>
      <c r="K228" s="18"/>
      <c r="L228" s="13"/>
      <c r="M228" s="15" t="str">
        <f aca="false">IF(A228="","",COUNTIFS(Quotes!$B$2:$B$301,A228,Quotes!$G$2:$G$301,"Y"))</f>
        <v/>
      </c>
      <c r="N228" s="17" t="str">
        <f aca="false">IF(A228="","",IF(M228=0,"",_xlfn.MINIFS(Quotes!$F$2:$F$301,Quotes!$B$2:$B$301,A228,Quotes!$G$2:$G$301,"Y")))</f>
        <v/>
      </c>
      <c r="O228" s="15" t="str">
        <f aca="false">IF(A228="","",AND(E228,G228="Y"))</f>
        <v/>
      </c>
      <c r="P228" s="17" t="str">
        <f aca="false">IF(A228="","",IF(AND(O228,N228&lt;&gt;""),N228,""))</f>
        <v/>
      </c>
      <c r="Q228" s="15" t="str">
        <f aca="false">IF(A228="","",COUNTIF(Picks!$A$2:$A$301,A228)&gt;0)</f>
        <v/>
      </c>
      <c r="R228" s="13"/>
      <c r="S228" s="13"/>
      <c r="T228" s="15" t="str">
        <f aca="false">IF(A228="","",COUNTIF(Nudges!$C$2:$C$301,A228)&gt;0)</f>
        <v/>
      </c>
      <c r="U228" s="8"/>
      <c r="V228" s="8"/>
    </row>
    <row r="229" customFormat="false" ht="15" hidden="false" customHeight="false" outlineLevel="0" collapsed="false">
      <c r="A229" s="13"/>
      <c r="B229" s="18"/>
      <c r="C229" s="15" t="str">
        <f aca="false">IF(B229="","",INT((B229-Settings!$B$2)/7)+1)</f>
        <v/>
      </c>
      <c r="D229" s="13"/>
      <c r="E229" s="15" t="str">
        <f aca="false">IF(A229="","",OR(D229=Settings!$B$3,AND(Settings!$B$4&lt;&gt;"",D229=Settings!$B$4)))</f>
        <v/>
      </c>
      <c r="F229" s="13"/>
      <c r="G229" s="13"/>
      <c r="H229" s="13"/>
      <c r="I229" s="13"/>
      <c r="J229" s="13"/>
      <c r="K229" s="18"/>
      <c r="L229" s="13"/>
      <c r="M229" s="15" t="str">
        <f aca="false">IF(A229="","",COUNTIFS(Quotes!$B$2:$B$301,A229,Quotes!$G$2:$G$301,"Y"))</f>
        <v/>
      </c>
      <c r="N229" s="17" t="str">
        <f aca="false">IF(A229="","",IF(M229=0,"",_xlfn.MINIFS(Quotes!$F$2:$F$301,Quotes!$B$2:$B$301,A229,Quotes!$G$2:$G$301,"Y")))</f>
        <v/>
      </c>
      <c r="O229" s="15" t="str">
        <f aca="false">IF(A229="","",AND(E229,G229="Y"))</f>
        <v/>
      </c>
      <c r="P229" s="17" t="str">
        <f aca="false">IF(A229="","",IF(AND(O229,N229&lt;&gt;""),N229,""))</f>
        <v/>
      </c>
      <c r="Q229" s="15" t="str">
        <f aca="false">IF(A229="","",COUNTIF(Picks!$A$2:$A$301,A229)&gt;0)</f>
        <v/>
      </c>
      <c r="R229" s="13"/>
      <c r="S229" s="13"/>
      <c r="T229" s="15" t="str">
        <f aca="false">IF(A229="","",COUNTIF(Nudges!$C$2:$C$301,A229)&gt;0)</f>
        <v/>
      </c>
      <c r="U229" s="8"/>
      <c r="V229" s="8"/>
    </row>
    <row r="230" customFormat="false" ht="15" hidden="false" customHeight="false" outlineLevel="0" collapsed="false">
      <c r="A230" s="13"/>
      <c r="B230" s="18"/>
      <c r="C230" s="15" t="str">
        <f aca="false">IF(B230="","",INT((B230-Settings!$B$2)/7)+1)</f>
        <v/>
      </c>
      <c r="D230" s="13"/>
      <c r="E230" s="15" t="str">
        <f aca="false">IF(A230="","",OR(D230=Settings!$B$3,AND(Settings!$B$4&lt;&gt;"",D230=Settings!$B$4)))</f>
        <v/>
      </c>
      <c r="F230" s="13"/>
      <c r="G230" s="13"/>
      <c r="H230" s="13"/>
      <c r="I230" s="13"/>
      <c r="J230" s="13"/>
      <c r="K230" s="18"/>
      <c r="L230" s="13"/>
      <c r="M230" s="15" t="str">
        <f aca="false">IF(A230="","",COUNTIFS(Quotes!$B$2:$B$301,A230,Quotes!$G$2:$G$301,"Y"))</f>
        <v/>
      </c>
      <c r="N230" s="17" t="str">
        <f aca="false">IF(A230="","",IF(M230=0,"",_xlfn.MINIFS(Quotes!$F$2:$F$301,Quotes!$B$2:$B$301,A230,Quotes!$G$2:$G$301,"Y")))</f>
        <v/>
      </c>
      <c r="O230" s="15" t="str">
        <f aca="false">IF(A230="","",AND(E230,G230="Y"))</f>
        <v/>
      </c>
      <c r="P230" s="17" t="str">
        <f aca="false">IF(A230="","",IF(AND(O230,N230&lt;&gt;""),N230,""))</f>
        <v/>
      </c>
      <c r="Q230" s="15" t="str">
        <f aca="false">IF(A230="","",COUNTIF(Picks!$A$2:$A$301,A230)&gt;0)</f>
        <v/>
      </c>
      <c r="R230" s="13"/>
      <c r="S230" s="13"/>
      <c r="T230" s="15" t="str">
        <f aca="false">IF(A230="","",COUNTIF(Nudges!$C$2:$C$301,A230)&gt;0)</f>
        <v/>
      </c>
      <c r="U230" s="8"/>
      <c r="V230" s="8"/>
    </row>
    <row r="231" customFormat="false" ht="15" hidden="false" customHeight="false" outlineLevel="0" collapsed="false">
      <c r="A231" s="13"/>
      <c r="B231" s="18"/>
      <c r="C231" s="15" t="str">
        <f aca="false">IF(B231="","",INT((B231-Settings!$B$2)/7)+1)</f>
        <v/>
      </c>
      <c r="D231" s="13"/>
      <c r="E231" s="15" t="str">
        <f aca="false">IF(A231="","",OR(D231=Settings!$B$3,AND(Settings!$B$4&lt;&gt;"",D231=Settings!$B$4)))</f>
        <v/>
      </c>
      <c r="F231" s="13"/>
      <c r="G231" s="13"/>
      <c r="H231" s="13"/>
      <c r="I231" s="13"/>
      <c r="J231" s="13"/>
      <c r="K231" s="18"/>
      <c r="L231" s="13"/>
      <c r="M231" s="15" t="str">
        <f aca="false">IF(A231="","",COUNTIFS(Quotes!$B$2:$B$301,A231,Quotes!$G$2:$G$301,"Y"))</f>
        <v/>
      </c>
      <c r="N231" s="17" t="str">
        <f aca="false">IF(A231="","",IF(M231=0,"",_xlfn.MINIFS(Quotes!$F$2:$F$301,Quotes!$B$2:$B$301,A231,Quotes!$G$2:$G$301,"Y")))</f>
        <v/>
      </c>
      <c r="O231" s="15" t="str">
        <f aca="false">IF(A231="","",AND(E231,G231="Y"))</f>
        <v/>
      </c>
      <c r="P231" s="17" t="str">
        <f aca="false">IF(A231="","",IF(AND(O231,N231&lt;&gt;""),N231,""))</f>
        <v/>
      </c>
      <c r="Q231" s="15" t="str">
        <f aca="false">IF(A231="","",COUNTIF(Picks!$A$2:$A$301,A231)&gt;0)</f>
        <v/>
      </c>
      <c r="R231" s="13"/>
      <c r="S231" s="13"/>
      <c r="T231" s="15" t="str">
        <f aca="false">IF(A231="","",COUNTIF(Nudges!$C$2:$C$301,A231)&gt;0)</f>
        <v/>
      </c>
      <c r="U231" s="8"/>
      <c r="V231" s="8"/>
    </row>
    <row r="232" customFormat="false" ht="15" hidden="false" customHeight="false" outlineLevel="0" collapsed="false">
      <c r="A232" s="13"/>
      <c r="B232" s="18"/>
      <c r="C232" s="15" t="str">
        <f aca="false">IF(B232="","",INT((B232-Settings!$B$2)/7)+1)</f>
        <v/>
      </c>
      <c r="D232" s="13"/>
      <c r="E232" s="15" t="str">
        <f aca="false">IF(A232="","",OR(D232=Settings!$B$3,AND(Settings!$B$4&lt;&gt;"",D232=Settings!$B$4)))</f>
        <v/>
      </c>
      <c r="F232" s="13"/>
      <c r="G232" s="13"/>
      <c r="H232" s="13"/>
      <c r="I232" s="13"/>
      <c r="J232" s="13"/>
      <c r="K232" s="18"/>
      <c r="L232" s="13"/>
      <c r="M232" s="15" t="str">
        <f aca="false">IF(A232="","",COUNTIFS(Quotes!$B$2:$B$301,A232,Quotes!$G$2:$G$301,"Y"))</f>
        <v/>
      </c>
      <c r="N232" s="17" t="str">
        <f aca="false">IF(A232="","",IF(M232=0,"",_xlfn.MINIFS(Quotes!$F$2:$F$301,Quotes!$B$2:$B$301,A232,Quotes!$G$2:$G$301,"Y")))</f>
        <v/>
      </c>
      <c r="O232" s="15" t="str">
        <f aca="false">IF(A232="","",AND(E232,G232="Y"))</f>
        <v/>
      </c>
      <c r="P232" s="17" t="str">
        <f aca="false">IF(A232="","",IF(AND(O232,N232&lt;&gt;""),N232,""))</f>
        <v/>
      </c>
      <c r="Q232" s="15" t="str">
        <f aca="false">IF(A232="","",COUNTIF(Picks!$A$2:$A$301,A232)&gt;0)</f>
        <v/>
      </c>
      <c r="R232" s="13"/>
      <c r="S232" s="13"/>
      <c r="T232" s="15" t="str">
        <f aca="false">IF(A232="","",COUNTIF(Nudges!$C$2:$C$301,A232)&gt;0)</f>
        <v/>
      </c>
      <c r="U232" s="8"/>
      <c r="V232" s="8"/>
    </row>
    <row r="233" customFormat="false" ht="15" hidden="false" customHeight="false" outlineLevel="0" collapsed="false">
      <c r="A233" s="13"/>
      <c r="B233" s="18"/>
      <c r="C233" s="15" t="str">
        <f aca="false">IF(B233="","",INT((B233-Settings!$B$2)/7)+1)</f>
        <v/>
      </c>
      <c r="D233" s="13"/>
      <c r="E233" s="15" t="str">
        <f aca="false">IF(A233="","",OR(D233=Settings!$B$3,AND(Settings!$B$4&lt;&gt;"",D233=Settings!$B$4)))</f>
        <v/>
      </c>
      <c r="F233" s="13"/>
      <c r="G233" s="13"/>
      <c r="H233" s="13"/>
      <c r="I233" s="13"/>
      <c r="J233" s="13"/>
      <c r="K233" s="18"/>
      <c r="L233" s="13"/>
      <c r="M233" s="15" t="str">
        <f aca="false">IF(A233="","",COUNTIFS(Quotes!$B$2:$B$301,A233,Quotes!$G$2:$G$301,"Y"))</f>
        <v/>
      </c>
      <c r="N233" s="17" t="str">
        <f aca="false">IF(A233="","",IF(M233=0,"",_xlfn.MINIFS(Quotes!$F$2:$F$301,Quotes!$B$2:$B$301,A233,Quotes!$G$2:$G$301,"Y")))</f>
        <v/>
      </c>
      <c r="O233" s="15" t="str">
        <f aca="false">IF(A233="","",AND(E233,G233="Y"))</f>
        <v/>
      </c>
      <c r="P233" s="17" t="str">
        <f aca="false">IF(A233="","",IF(AND(O233,N233&lt;&gt;""),N233,""))</f>
        <v/>
      </c>
      <c r="Q233" s="15" t="str">
        <f aca="false">IF(A233="","",COUNTIF(Picks!$A$2:$A$301,A233)&gt;0)</f>
        <v/>
      </c>
      <c r="R233" s="13"/>
      <c r="S233" s="13"/>
      <c r="T233" s="15" t="str">
        <f aca="false">IF(A233="","",COUNTIF(Nudges!$C$2:$C$301,A233)&gt;0)</f>
        <v/>
      </c>
      <c r="U233" s="8"/>
      <c r="V233" s="8"/>
    </row>
    <row r="234" customFormat="false" ht="15" hidden="false" customHeight="false" outlineLevel="0" collapsed="false">
      <c r="A234" s="13"/>
      <c r="B234" s="18"/>
      <c r="C234" s="15" t="str">
        <f aca="false">IF(B234="","",INT((B234-Settings!$B$2)/7)+1)</f>
        <v/>
      </c>
      <c r="D234" s="13"/>
      <c r="E234" s="15" t="str">
        <f aca="false">IF(A234="","",OR(D234=Settings!$B$3,AND(Settings!$B$4&lt;&gt;"",D234=Settings!$B$4)))</f>
        <v/>
      </c>
      <c r="F234" s="13"/>
      <c r="G234" s="13"/>
      <c r="H234" s="13"/>
      <c r="I234" s="13"/>
      <c r="J234" s="13"/>
      <c r="K234" s="18"/>
      <c r="L234" s="13"/>
      <c r="M234" s="15" t="str">
        <f aca="false">IF(A234="","",COUNTIFS(Quotes!$B$2:$B$301,A234,Quotes!$G$2:$G$301,"Y"))</f>
        <v/>
      </c>
      <c r="N234" s="17" t="str">
        <f aca="false">IF(A234="","",IF(M234=0,"",_xlfn.MINIFS(Quotes!$F$2:$F$301,Quotes!$B$2:$B$301,A234,Quotes!$G$2:$G$301,"Y")))</f>
        <v/>
      </c>
      <c r="O234" s="15" t="str">
        <f aca="false">IF(A234="","",AND(E234,G234="Y"))</f>
        <v/>
      </c>
      <c r="P234" s="17" t="str">
        <f aca="false">IF(A234="","",IF(AND(O234,N234&lt;&gt;""),N234,""))</f>
        <v/>
      </c>
      <c r="Q234" s="15" t="str">
        <f aca="false">IF(A234="","",COUNTIF(Picks!$A$2:$A$301,A234)&gt;0)</f>
        <v/>
      </c>
      <c r="R234" s="13"/>
      <c r="S234" s="13"/>
      <c r="T234" s="15" t="str">
        <f aca="false">IF(A234="","",COUNTIF(Nudges!$C$2:$C$301,A234)&gt;0)</f>
        <v/>
      </c>
      <c r="U234" s="8"/>
      <c r="V234" s="8"/>
    </row>
    <row r="235" customFormat="false" ht="15" hidden="false" customHeight="false" outlineLevel="0" collapsed="false">
      <c r="A235" s="13"/>
      <c r="B235" s="18"/>
      <c r="C235" s="15" t="str">
        <f aca="false">IF(B235="","",INT((B235-Settings!$B$2)/7)+1)</f>
        <v/>
      </c>
      <c r="D235" s="13"/>
      <c r="E235" s="15" t="str">
        <f aca="false">IF(A235="","",OR(D235=Settings!$B$3,AND(Settings!$B$4&lt;&gt;"",D235=Settings!$B$4)))</f>
        <v/>
      </c>
      <c r="F235" s="13"/>
      <c r="G235" s="13"/>
      <c r="H235" s="13"/>
      <c r="I235" s="13"/>
      <c r="J235" s="13"/>
      <c r="K235" s="18"/>
      <c r="L235" s="13"/>
      <c r="M235" s="15" t="str">
        <f aca="false">IF(A235="","",COUNTIFS(Quotes!$B$2:$B$301,A235,Quotes!$G$2:$G$301,"Y"))</f>
        <v/>
      </c>
      <c r="N235" s="17" t="str">
        <f aca="false">IF(A235="","",IF(M235=0,"",_xlfn.MINIFS(Quotes!$F$2:$F$301,Quotes!$B$2:$B$301,A235,Quotes!$G$2:$G$301,"Y")))</f>
        <v/>
      </c>
      <c r="O235" s="15" t="str">
        <f aca="false">IF(A235="","",AND(E235,G235="Y"))</f>
        <v/>
      </c>
      <c r="P235" s="17" t="str">
        <f aca="false">IF(A235="","",IF(AND(O235,N235&lt;&gt;""),N235,""))</f>
        <v/>
      </c>
      <c r="Q235" s="15" t="str">
        <f aca="false">IF(A235="","",COUNTIF(Picks!$A$2:$A$301,A235)&gt;0)</f>
        <v/>
      </c>
      <c r="R235" s="13"/>
      <c r="S235" s="13"/>
      <c r="T235" s="15" t="str">
        <f aca="false">IF(A235="","",COUNTIF(Nudges!$C$2:$C$301,A235)&gt;0)</f>
        <v/>
      </c>
      <c r="U235" s="8"/>
      <c r="V235" s="8"/>
    </row>
    <row r="236" customFormat="false" ht="15" hidden="false" customHeight="false" outlineLevel="0" collapsed="false">
      <c r="A236" s="13"/>
      <c r="B236" s="18"/>
      <c r="C236" s="15" t="str">
        <f aca="false">IF(B236="","",INT((B236-Settings!$B$2)/7)+1)</f>
        <v/>
      </c>
      <c r="D236" s="13"/>
      <c r="E236" s="15" t="str">
        <f aca="false">IF(A236="","",OR(D236=Settings!$B$3,AND(Settings!$B$4&lt;&gt;"",D236=Settings!$B$4)))</f>
        <v/>
      </c>
      <c r="F236" s="13"/>
      <c r="G236" s="13"/>
      <c r="H236" s="13"/>
      <c r="I236" s="13"/>
      <c r="J236" s="13"/>
      <c r="K236" s="18"/>
      <c r="L236" s="13"/>
      <c r="M236" s="15" t="str">
        <f aca="false">IF(A236="","",COUNTIFS(Quotes!$B$2:$B$301,A236,Quotes!$G$2:$G$301,"Y"))</f>
        <v/>
      </c>
      <c r="N236" s="17" t="str">
        <f aca="false">IF(A236="","",IF(M236=0,"",_xlfn.MINIFS(Quotes!$F$2:$F$301,Quotes!$B$2:$B$301,A236,Quotes!$G$2:$G$301,"Y")))</f>
        <v/>
      </c>
      <c r="O236" s="15" t="str">
        <f aca="false">IF(A236="","",AND(E236,G236="Y"))</f>
        <v/>
      </c>
      <c r="P236" s="17" t="str">
        <f aca="false">IF(A236="","",IF(AND(O236,N236&lt;&gt;""),N236,""))</f>
        <v/>
      </c>
      <c r="Q236" s="15" t="str">
        <f aca="false">IF(A236="","",COUNTIF(Picks!$A$2:$A$301,A236)&gt;0)</f>
        <v/>
      </c>
      <c r="R236" s="13"/>
      <c r="S236" s="13"/>
      <c r="T236" s="15" t="str">
        <f aca="false">IF(A236="","",COUNTIF(Nudges!$C$2:$C$301,A236)&gt;0)</f>
        <v/>
      </c>
      <c r="U236" s="8"/>
      <c r="V236" s="8"/>
    </row>
    <row r="237" customFormat="false" ht="15" hidden="false" customHeight="false" outlineLevel="0" collapsed="false">
      <c r="A237" s="13"/>
      <c r="B237" s="18"/>
      <c r="C237" s="15" t="str">
        <f aca="false">IF(B237="","",INT((B237-Settings!$B$2)/7)+1)</f>
        <v/>
      </c>
      <c r="D237" s="13"/>
      <c r="E237" s="15" t="str">
        <f aca="false">IF(A237="","",OR(D237=Settings!$B$3,AND(Settings!$B$4&lt;&gt;"",D237=Settings!$B$4)))</f>
        <v/>
      </c>
      <c r="F237" s="13"/>
      <c r="G237" s="13"/>
      <c r="H237" s="13"/>
      <c r="I237" s="13"/>
      <c r="J237" s="13"/>
      <c r="K237" s="18"/>
      <c r="L237" s="13"/>
      <c r="M237" s="15" t="str">
        <f aca="false">IF(A237="","",COUNTIFS(Quotes!$B$2:$B$301,A237,Quotes!$G$2:$G$301,"Y"))</f>
        <v/>
      </c>
      <c r="N237" s="17" t="str">
        <f aca="false">IF(A237="","",IF(M237=0,"",_xlfn.MINIFS(Quotes!$F$2:$F$301,Quotes!$B$2:$B$301,A237,Quotes!$G$2:$G$301,"Y")))</f>
        <v/>
      </c>
      <c r="O237" s="15" t="str">
        <f aca="false">IF(A237="","",AND(E237,G237="Y"))</f>
        <v/>
      </c>
      <c r="P237" s="17" t="str">
        <f aca="false">IF(A237="","",IF(AND(O237,N237&lt;&gt;""),N237,""))</f>
        <v/>
      </c>
      <c r="Q237" s="15" t="str">
        <f aca="false">IF(A237="","",COUNTIF(Picks!$A$2:$A$301,A237)&gt;0)</f>
        <v/>
      </c>
      <c r="R237" s="13"/>
      <c r="S237" s="13"/>
      <c r="T237" s="15" t="str">
        <f aca="false">IF(A237="","",COUNTIF(Nudges!$C$2:$C$301,A237)&gt;0)</f>
        <v/>
      </c>
      <c r="U237" s="8"/>
      <c r="V237" s="8"/>
    </row>
    <row r="238" customFormat="false" ht="15" hidden="false" customHeight="false" outlineLevel="0" collapsed="false">
      <c r="A238" s="13"/>
      <c r="B238" s="18"/>
      <c r="C238" s="15" t="str">
        <f aca="false">IF(B238="","",INT((B238-Settings!$B$2)/7)+1)</f>
        <v/>
      </c>
      <c r="D238" s="13"/>
      <c r="E238" s="15" t="str">
        <f aca="false">IF(A238="","",OR(D238=Settings!$B$3,AND(Settings!$B$4&lt;&gt;"",D238=Settings!$B$4)))</f>
        <v/>
      </c>
      <c r="F238" s="13"/>
      <c r="G238" s="13"/>
      <c r="H238" s="13"/>
      <c r="I238" s="13"/>
      <c r="J238" s="13"/>
      <c r="K238" s="18"/>
      <c r="L238" s="13"/>
      <c r="M238" s="15" t="str">
        <f aca="false">IF(A238="","",COUNTIFS(Quotes!$B$2:$B$301,A238,Quotes!$G$2:$G$301,"Y"))</f>
        <v/>
      </c>
      <c r="N238" s="17" t="str">
        <f aca="false">IF(A238="","",IF(M238=0,"",_xlfn.MINIFS(Quotes!$F$2:$F$301,Quotes!$B$2:$B$301,A238,Quotes!$G$2:$G$301,"Y")))</f>
        <v/>
      </c>
      <c r="O238" s="15" t="str">
        <f aca="false">IF(A238="","",AND(E238,G238="Y"))</f>
        <v/>
      </c>
      <c r="P238" s="17" t="str">
        <f aca="false">IF(A238="","",IF(AND(O238,N238&lt;&gt;""),N238,""))</f>
        <v/>
      </c>
      <c r="Q238" s="15" t="str">
        <f aca="false">IF(A238="","",COUNTIF(Picks!$A$2:$A$301,A238)&gt;0)</f>
        <v/>
      </c>
      <c r="R238" s="13"/>
      <c r="S238" s="13"/>
      <c r="T238" s="15" t="str">
        <f aca="false">IF(A238="","",COUNTIF(Nudges!$C$2:$C$301,A238)&gt;0)</f>
        <v/>
      </c>
      <c r="U238" s="8"/>
      <c r="V238" s="8"/>
    </row>
    <row r="239" customFormat="false" ht="15" hidden="false" customHeight="false" outlineLevel="0" collapsed="false">
      <c r="A239" s="13"/>
      <c r="B239" s="18"/>
      <c r="C239" s="15" t="str">
        <f aca="false">IF(B239="","",INT((B239-Settings!$B$2)/7)+1)</f>
        <v/>
      </c>
      <c r="D239" s="13"/>
      <c r="E239" s="15" t="str">
        <f aca="false">IF(A239="","",OR(D239=Settings!$B$3,AND(Settings!$B$4&lt;&gt;"",D239=Settings!$B$4)))</f>
        <v/>
      </c>
      <c r="F239" s="13"/>
      <c r="G239" s="13"/>
      <c r="H239" s="13"/>
      <c r="I239" s="13"/>
      <c r="J239" s="13"/>
      <c r="K239" s="18"/>
      <c r="L239" s="13"/>
      <c r="M239" s="15" t="str">
        <f aca="false">IF(A239="","",COUNTIFS(Quotes!$B$2:$B$301,A239,Quotes!$G$2:$G$301,"Y"))</f>
        <v/>
      </c>
      <c r="N239" s="17" t="str">
        <f aca="false">IF(A239="","",IF(M239=0,"",_xlfn.MINIFS(Quotes!$F$2:$F$301,Quotes!$B$2:$B$301,A239,Quotes!$G$2:$G$301,"Y")))</f>
        <v/>
      </c>
      <c r="O239" s="15" t="str">
        <f aca="false">IF(A239="","",AND(E239,G239="Y"))</f>
        <v/>
      </c>
      <c r="P239" s="17" t="str">
        <f aca="false">IF(A239="","",IF(AND(O239,N239&lt;&gt;""),N239,""))</f>
        <v/>
      </c>
      <c r="Q239" s="15" t="str">
        <f aca="false">IF(A239="","",COUNTIF(Picks!$A$2:$A$301,A239)&gt;0)</f>
        <v/>
      </c>
      <c r="R239" s="13"/>
      <c r="S239" s="13"/>
      <c r="T239" s="15" t="str">
        <f aca="false">IF(A239="","",COUNTIF(Nudges!$C$2:$C$301,A239)&gt;0)</f>
        <v/>
      </c>
      <c r="U239" s="8"/>
      <c r="V239" s="8"/>
    </row>
    <row r="240" customFormat="false" ht="15" hidden="false" customHeight="false" outlineLevel="0" collapsed="false">
      <c r="A240" s="13"/>
      <c r="B240" s="18"/>
      <c r="C240" s="15" t="str">
        <f aca="false">IF(B240="","",INT((B240-Settings!$B$2)/7)+1)</f>
        <v/>
      </c>
      <c r="D240" s="13"/>
      <c r="E240" s="15" t="str">
        <f aca="false">IF(A240="","",OR(D240=Settings!$B$3,AND(Settings!$B$4&lt;&gt;"",D240=Settings!$B$4)))</f>
        <v/>
      </c>
      <c r="F240" s="13"/>
      <c r="G240" s="13"/>
      <c r="H240" s="13"/>
      <c r="I240" s="13"/>
      <c r="J240" s="13"/>
      <c r="K240" s="18"/>
      <c r="L240" s="13"/>
      <c r="M240" s="15" t="str">
        <f aca="false">IF(A240="","",COUNTIFS(Quotes!$B$2:$B$301,A240,Quotes!$G$2:$G$301,"Y"))</f>
        <v/>
      </c>
      <c r="N240" s="17" t="str">
        <f aca="false">IF(A240="","",IF(M240=0,"",_xlfn.MINIFS(Quotes!$F$2:$F$301,Quotes!$B$2:$B$301,A240,Quotes!$G$2:$G$301,"Y")))</f>
        <v/>
      </c>
      <c r="O240" s="15" t="str">
        <f aca="false">IF(A240="","",AND(E240,G240="Y"))</f>
        <v/>
      </c>
      <c r="P240" s="17" t="str">
        <f aca="false">IF(A240="","",IF(AND(O240,N240&lt;&gt;""),N240,""))</f>
        <v/>
      </c>
      <c r="Q240" s="15" t="str">
        <f aca="false">IF(A240="","",COUNTIF(Picks!$A$2:$A$301,A240)&gt;0)</f>
        <v/>
      </c>
      <c r="R240" s="13"/>
      <c r="S240" s="13"/>
      <c r="T240" s="15" t="str">
        <f aca="false">IF(A240="","",COUNTIF(Nudges!$C$2:$C$301,A240)&gt;0)</f>
        <v/>
      </c>
      <c r="U240" s="8"/>
      <c r="V240" s="8"/>
    </row>
    <row r="241" customFormat="false" ht="15" hidden="false" customHeight="false" outlineLevel="0" collapsed="false">
      <c r="A241" s="13"/>
      <c r="B241" s="18"/>
      <c r="C241" s="15" t="str">
        <f aca="false">IF(B241="","",INT((B241-Settings!$B$2)/7)+1)</f>
        <v/>
      </c>
      <c r="D241" s="13"/>
      <c r="E241" s="15" t="str">
        <f aca="false">IF(A241="","",OR(D241=Settings!$B$3,AND(Settings!$B$4&lt;&gt;"",D241=Settings!$B$4)))</f>
        <v/>
      </c>
      <c r="F241" s="13"/>
      <c r="G241" s="13"/>
      <c r="H241" s="13"/>
      <c r="I241" s="13"/>
      <c r="J241" s="13"/>
      <c r="K241" s="18"/>
      <c r="L241" s="13"/>
      <c r="M241" s="15" t="str">
        <f aca="false">IF(A241="","",COUNTIFS(Quotes!$B$2:$B$301,A241,Quotes!$G$2:$G$301,"Y"))</f>
        <v/>
      </c>
      <c r="N241" s="17" t="str">
        <f aca="false">IF(A241="","",IF(M241=0,"",_xlfn.MINIFS(Quotes!$F$2:$F$301,Quotes!$B$2:$B$301,A241,Quotes!$G$2:$G$301,"Y")))</f>
        <v/>
      </c>
      <c r="O241" s="15" t="str">
        <f aca="false">IF(A241="","",AND(E241,G241="Y"))</f>
        <v/>
      </c>
      <c r="P241" s="17" t="str">
        <f aca="false">IF(A241="","",IF(AND(O241,N241&lt;&gt;""),N241,""))</f>
        <v/>
      </c>
      <c r="Q241" s="15" t="str">
        <f aca="false">IF(A241="","",COUNTIF(Picks!$A$2:$A$301,A241)&gt;0)</f>
        <v/>
      </c>
      <c r="R241" s="13"/>
      <c r="S241" s="13"/>
      <c r="T241" s="15" t="str">
        <f aca="false">IF(A241="","",COUNTIF(Nudges!$C$2:$C$301,A241)&gt;0)</f>
        <v/>
      </c>
      <c r="U241" s="8"/>
      <c r="V241" s="8"/>
    </row>
    <row r="242" customFormat="false" ht="15" hidden="false" customHeight="false" outlineLevel="0" collapsed="false">
      <c r="A242" s="13"/>
      <c r="B242" s="18"/>
      <c r="C242" s="15" t="str">
        <f aca="false">IF(B242="","",INT((B242-Settings!$B$2)/7)+1)</f>
        <v/>
      </c>
      <c r="D242" s="13"/>
      <c r="E242" s="15" t="str">
        <f aca="false">IF(A242="","",OR(D242=Settings!$B$3,AND(Settings!$B$4&lt;&gt;"",D242=Settings!$B$4)))</f>
        <v/>
      </c>
      <c r="F242" s="13"/>
      <c r="G242" s="13"/>
      <c r="H242" s="13"/>
      <c r="I242" s="13"/>
      <c r="J242" s="13"/>
      <c r="K242" s="18"/>
      <c r="L242" s="13"/>
      <c r="M242" s="15" t="str">
        <f aca="false">IF(A242="","",COUNTIFS(Quotes!$B$2:$B$301,A242,Quotes!$G$2:$G$301,"Y"))</f>
        <v/>
      </c>
      <c r="N242" s="17" t="str">
        <f aca="false">IF(A242="","",IF(M242=0,"",_xlfn.MINIFS(Quotes!$F$2:$F$301,Quotes!$B$2:$B$301,A242,Quotes!$G$2:$G$301,"Y")))</f>
        <v/>
      </c>
      <c r="O242" s="15" t="str">
        <f aca="false">IF(A242="","",AND(E242,G242="Y"))</f>
        <v/>
      </c>
      <c r="P242" s="17" t="str">
        <f aca="false">IF(A242="","",IF(AND(O242,N242&lt;&gt;""),N242,""))</f>
        <v/>
      </c>
      <c r="Q242" s="15" t="str">
        <f aca="false">IF(A242="","",COUNTIF(Picks!$A$2:$A$301,A242)&gt;0)</f>
        <v/>
      </c>
      <c r="R242" s="13"/>
      <c r="S242" s="13"/>
      <c r="T242" s="15" t="str">
        <f aca="false">IF(A242="","",COUNTIF(Nudges!$C$2:$C$301,A242)&gt;0)</f>
        <v/>
      </c>
      <c r="U242" s="8"/>
      <c r="V242" s="8"/>
    </row>
    <row r="243" customFormat="false" ht="15" hidden="false" customHeight="false" outlineLevel="0" collapsed="false">
      <c r="A243" s="13"/>
      <c r="B243" s="18"/>
      <c r="C243" s="15" t="str">
        <f aca="false">IF(B243="","",INT((B243-Settings!$B$2)/7)+1)</f>
        <v/>
      </c>
      <c r="D243" s="13"/>
      <c r="E243" s="15" t="str">
        <f aca="false">IF(A243="","",OR(D243=Settings!$B$3,AND(Settings!$B$4&lt;&gt;"",D243=Settings!$B$4)))</f>
        <v/>
      </c>
      <c r="F243" s="13"/>
      <c r="G243" s="13"/>
      <c r="H243" s="13"/>
      <c r="I243" s="13"/>
      <c r="J243" s="13"/>
      <c r="K243" s="18"/>
      <c r="L243" s="13"/>
      <c r="M243" s="15" t="str">
        <f aca="false">IF(A243="","",COUNTIFS(Quotes!$B$2:$B$301,A243,Quotes!$G$2:$G$301,"Y"))</f>
        <v/>
      </c>
      <c r="N243" s="17" t="str">
        <f aca="false">IF(A243="","",IF(M243=0,"",_xlfn.MINIFS(Quotes!$F$2:$F$301,Quotes!$B$2:$B$301,A243,Quotes!$G$2:$G$301,"Y")))</f>
        <v/>
      </c>
      <c r="O243" s="15" t="str">
        <f aca="false">IF(A243="","",AND(E243,G243="Y"))</f>
        <v/>
      </c>
      <c r="P243" s="17" t="str">
        <f aca="false">IF(A243="","",IF(AND(O243,N243&lt;&gt;""),N243,""))</f>
        <v/>
      </c>
      <c r="Q243" s="15" t="str">
        <f aca="false">IF(A243="","",COUNTIF(Picks!$A$2:$A$301,A243)&gt;0)</f>
        <v/>
      </c>
      <c r="R243" s="13"/>
      <c r="S243" s="13"/>
      <c r="T243" s="15" t="str">
        <f aca="false">IF(A243="","",COUNTIF(Nudges!$C$2:$C$301,A243)&gt;0)</f>
        <v/>
      </c>
      <c r="U243" s="8"/>
      <c r="V243" s="8"/>
    </row>
    <row r="244" customFormat="false" ht="15" hidden="false" customHeight="false" outlineLevel="0" collapsed="false">
      <c r="A244" s="13"/>
      <c r="B244" s="18"/>
      <c r="C244" s="15" t="str">
        <f aca="false">IF(B244="","",INT((B244-Settings!$B$2)/7)+1)</f>
        <v/>
      </c>
      <c r="D244" s="13"/>
      <c r="E244" s="15" t="str">
        <f aca="false">IF(A244="","",OR(D244=Settings!$B$3,AND(Settings!$B$4&lt;&gt;"",D244=Settings!$B$4)))</f>
        <v/>
      </c>
      <c r="F244" s="13"/>
      <c r="G244" s="13"/>
      <c r="H244" s="13"/>
      <c r="I244" s="13"/>
      <c r="J244" s="13"/>
      <c r="K244" s="18"/>
      <c r="L244" s="13"/>
      <c r="M244" s="15" t="str">
        <f aca="false">IF(A244="","",COUNTIFS(Quotes!$B$2:$B$301,A244,Quotes!$G$2:$G$301,"Y"))</f>
        <v/>
      </c>
      <c r="N244" s="17" t="str">
        <f aca="false">IF(A244="","",IF(M244=0,"",_xlfn.MINIFS(Quotes!$F$2:$F$301,Quotes!$B$2:$B$301,A244,Quotes!$G$2:$G$301,"Y")))</f>
        <v/>
      </c>
      <c r="O244" s="15" t="str">
        <f aca="false">IF(A244="","",AND(E244,G244="Y"))</f>
        <v/>
      </c>
      <c r="P244" s="17" t="str">
        <f aca="false">IF(A244="","",IF(AND(O244,N244&lt;&gt;""),N244,""))</f>
        <v/>
      </c>
      <c r="Q244" s="15" t="str">
        <f aca="false">IF(A244="","",COUNTIF(Picks!$A$2:$A$301,A244)&gt;0)</f>
        <v/>
      </c>
      <c r="R244" s="13"/>
      <c r="S244" s="13"/>
      <c r="T244" s="15" t="str">
        <f aca="false">IF(A244="","",COUNTIF(Nudges!$C$2:$C$301,A244)&gt;0)</f>
        <v/>
      </c>
      <c r="U244" s="8"/>
      <c r="V244" s="8"/>
    </row>
    <row r="245" customFormat="false" ht="15" hidden="false" customHeight="false" outlineLevel="0" collapsed="false">
      <c r="A245" s="13"/>
      <c r="B245" s="18"/>
      <c r="C245" s="15" t="str">
        <f aca="false">IF(B245="","",INT((B245-Settings!$B$2)/7)+1)</f>
        <v/>
      </c>
      <c r="D245" s="13"/>
      <c r="E245" s="15" t="str">
        <f aca="false">IF(A245="","",OR(D245=Settings!$B$3,AND(Settings!$B$4&lt;&gt;"",D245=Settings!$B$4)))</f>
        <v/>
      </c>
      <c r="F245" s="13"/>
      <c r="G245" s="13"/>
      <c r="H245" s="13"/>
      <c r="I245" s="13"/>
      <c r="J245" s="13"/>
      <c r="K245" s="18"/>
      <c r="L245" s="13"/>
      <c r="M245" s="15" t="str">
        <f aca="false">IF(A245="","",COUNTIFS(Quotes!$B$2:$B$301,A245,Quotes!$G$2:$G$301,"Y"))</f>
        <v/>
      </c>
      <c r="N245" s="17" t="str">
        <f aca="false">IF(A245="","",IF(M245=0,"",_xlfn.MINIFS(Quotes!$F$2:$F$301,Quotes!$B$2:$B$301,A245,Quotes!$G$2:$G$301,"Y")))</f>
        <v/>
      </c>
      <c r="O245" s="15" t="str">
        <f aca="false">IF(A245="","",AND(E245,G245="Y"))</f>
        <v/>
      </c>
      <c r="P245" s="17" t="str">
        <f aca="false">IF(A245="","",IF(AND(O245,N245&lt;&gt;""),N245,""))</f>
        <v/>
      </c>
      <c r="Q245" s="15" t="str">
        <f aca="false">IF(A245="","",COUNTIF(Picks!$A$2:$A$301,A245)&gt;0)</f>
        <v/>
      </c>
      <c r="R245" s="13"/>
      <c r="S245" s="13"/>
      <c r="T245" s="15" t="str">
        <f aca="false">IF(A245="","",COUNTIF(Nudges!$C$2:$C$301,A245)&gt;0)</f>
        <v/>
      </c>
      <c r="U245" s="8"/>
      <c r="V245" s="8"/>
    </row>
    <row r="246" customFormat="false" ht="15" hidden="false" customHeight="false" outlineLevel="0" collapsed="false">
      <c r="A246" s="13"/>
      <c r="B246" s="18"/>
      <c r="C246" s="15" t="str">
        <f aca="false">IF(B246="","",INT((B246-Settings!$B$2)/7)+1)</f>
        <v/>
      </c>
      <c r="D246" s="13"/>
      <c r="E246" s="15" t="str">
        <f aca="false">IF(A246="","",OR(D246=Settings!$B$3,AND(Settings!$B$4&lt;&gt;"",D246=Settings!$B$4)))</f>
        <v/>
      </c>
      <c r="F246" s="13"/>
      <c r="G246" s="13"/>
      <c r="H246" s="13"/>
      <c r="I246" s="13"/>
      <c r="J246" s="13"/>
      <c r="K246" s="18"/>
      <c r="L246" s="13"/>
      <c r="M246" s="15" t="str">
        <f aca="false">IF(A246="","",COUNTIFS(Quotes!$B$2:$B$301,A246,Quotes!$G$2:$G$301,"Y"))</f>
        <v/>
      </c>
      <c r="N246" s="17" t="str">
        <f aca="false">IF(A246="","",IF(M246=0,"",_xlfn.MINIFS(Quotes!$F$2:$F$301,Quotes!$B$2:$B$301,A246,Quotes!$G$2:$G$301,"Y")))</f>
        <v/>
      </c>
      <c r="O246" s="15" t="str">
        <f aca="false">IF(A246="","",AND(E246,G246="Y"))</f>
        <v/>
      </c>
      <c r="P246" s="17" t="str">
        <f aca="false">IF(A246="","",IF(AND(O246,N246&lt;&gt;""),N246,""))</f>
        <v/>
      </c>
      <c r="Q246" s="15" t="str">
        <f aca="false">IF(A246="","",COUNTIF(Picks!$A$2:$A$301,A246)&gt;0)</f>
        <v/>
      </c>
      <c r="R246" s="13"/>
      <c r="S246" s="13"/>
      <c r="T246" s="15" t="str">
        <f aca="false">IF(A246="","",COUNTIF(Nudges!$C$2:$C$301,A246)&gt;0)</f>
        <v/>
      </c>
      <c r="U246" s="8"/>
      <c r="V246" s="8"/>
    </row>
    <row r="247" customFormat="false" ht="15" hidden="false" customHeight="false" outlineLevel="0" collapsed="false">
      <c r="A247" s="13"/>
      <c r="B247" s="18"/>
      <c r="C247" s="15" t="str">
        <f aca="false">IF(B247="","",INT((B247-Settings!$B$2)/7)+1)</f>
        <v/>
      </c>
      <c r="D247" s="13"/>
      <c r="E247" s="15" t="str">
        <f aca="false">IF(A247="","",OR(D247=Settings!$B$3,AND(Settings!$B$4&lt;&gt;"",D247=Settings!$B$4)))</f>
        <v/>
      </c>
      <c r="F247" s="13"/>
      <c r="G247" s="13"/>
      <c r="H247" s="13"/>
      <c r="I247" s="13"/>
      <c r="J247" s="13"/>
      <c r="K247" s="18"/>
      <c r="L247" s="13"/>
      <c r="M247" s="15" t="str">
        <f aca="false">IF(A247="","",COUNTIFS(Quotes!$B$2:$B$301,A247,Quotes!$G$2:$G$301,"Y"))</f>
        <v/>
      </c>
      <c r="N247" s="17" t="str">
        <f aca="false">IF(A247="","",IF(M247=0,"",_xlfn.MINIFS(Quotes!$F$2:$F$301,Quotes!$B$2:$B$301,A247,Quotes!$G$2:$G$301,"Y")))</f>
        <v/>
      </c>
      <c r="O247" s="15" t="str">
        <f aca="false">IF(A247="","",AND(E247,G247="Y"))</f>
        <v/>
      </c>
      <c r="P247" s="17" t="str">
        <f aca="false">IF(A247="","",IF(AND(O247,N247&lt;&gt;""),N247,""))</f>
        <v/>
      </c>
      <c r="Q247" s="15" t="str">
        <f aca="false">IF(A247="","",COUNTIF(Picks!$A$2:$A$301,A247)&gt;0)</f>
        <v/>
      </c>
      <c r="R247" s="13"/>
      <c r="S247" s="13"/>
      <c r="T247" s="15" t="str">
        <f aca="false">IF(A247="","",COUNTIF(Nudges!$C$2:$C$301,A247)&gt;0)</f>
        <v/>
      </c>
      <c r="U247" s="8"/>
      <c r="V247" s="8"/>
    </row>
    <row r="248" customFormat="false" ht="15" hidden="false" customHeight="false" outlineLevel="0" collapsed="false">
      <c r="A248" s="13"/>
      <c r="B248" s="18"/>
      <c r="C248" s="15" t="str">
        <f aca="false">IF(B248="","",INT((B248-Settings!$B$2)/7)+1)</f>
        <v/>
      </c>
      <c r="D248" s="13"/>
      <c r="E248" s="15" t="str">
        <f aca="false">IF(A248="","",OR(D248=Settings!$B$3,AND(Settings!$B$4&lt;&gt;"",D248=Settings!$B$4)))</f>
        <v/>
      </c>
      <c r="F248" s="13"/>
      <c r="G248" s="13"/>
      <c r="H248" s="13"/>
      <c r="I248" s="13"/>
      <c r="J248" s="13"/>
      <c r="K248" s="18"/>
      <c r="L248" s="13"/>
      <c r="M248" s="15" t="str">
        <f aca="false">IF(A248="","",COUNTIFS(Quotes!$B$2:$B$301,A248,Quotes!$G$2:$G$301,"Y"))</f>
        <v/>
      </c>
      <c r="N248" s="17" t="str">
        <f aca="false">IF(A248="","",IF(M248=0,"",_xlfn.MINIFS(Quotes!$F$2:$F$301,Quotes!$B$2:$B$301,A248,Quotes!$G$2:$G$301,"Y")))</f>
        <v/>
      </c>
      <c r="O248" s="15" t="str">
        <f aca="false">IF(A248="","",AND(E248,G248="Y"))</f>
        <v/>
      </c>
      <c r="P248" s="17" t="str">
        <f aca="false">IF(A248="","",IF(AND(O248,N248&lt;&gt;""),N248,""))</f>
        <v/>
      </c>
      <c r="Q248" s="15" t="str">
        <f aca="false">IF(A248="","",COUNTIF(Picks!$A$2:$A$301,A248)&gt;0)</f>
        <v/>
      </c>
      <c r="R248" s="13"/>
      <c r="S248" s="13"/>
      <c r="T248" s="15" t="str">
        <f aca="false">IF(A248="","",COUNTIF(Nudges!$C$2:$C$301,A248)&gt;0)</f>
        <v/>
      </c>
      <c r="U248" s="8"/>
      <c r="V248" s="8"/>
    </row>
    <row r="249" customFormat="false" ht="15" hidden="false" customHeight="false" outlineLevel="0" collapsed="false">
      <c r="A249" s="13"/>
      <c r="B249" s="18"/>
      <c r="C249" s="15" t="str">
        <f aca="false">IF(B249="","",INT((B249-Settings!$B$2)/7)+1)</f>
        <v/>
      </c>
      <c r="D249" s="13"/>
      <c r="E249" s="15" t="str">
        <f aca="false">IF(A249="","",OR(D249=Settings!$B$3,AND(Settings!$B$4&lt;&gt;"",D249=Settings!$B$4)))</f>
        <v/>
      </c>
      <c r="F249" s="13"/>
      <c r="G249" s="13"/>
      <c r="H249" s="13"/>
      <c r="I249" s="13"/>
      <c r="J249" s="13"/>
      <c r="K249" s="18"/>
      <c r="L249" s="13"/>
      <c r="M249" s="15" t="str">
        <f aca="false">IF(A249="","",COUNTIFS(Quotes!$B$2:$B$301,A249,Quotes!$G$2:$G$301,"Y"))</f>
        <v/>
      </c>
      <c r="N249" s="17" t="str">
        <f aca="false">IF(A249="","",IF(M249=0,"",_xlfn.MINIFS(Quotes!$F$2:$F$301,Quotes!$B$2:$B$301,A249,Quotes!$G$2:$G$301,"Y")))</f>
        <v/>
      </c>
      <c r="O249" s="15" t="str">
        <f aca="false">IF(A249="","",AND(E249,G249="Y"))</f>
        <v/>
      </c>
      <c r="P249" s="17" t="str">
        <f aca="false">IF(A249="","",IF(AND(O249,N249&lt;&gt;""),N249,""))</f>
        <v/>
      </c>
      <c r="Q249" s="15" t="str">
        <f aca="false">IF(A249="","",COUNTIF(Picks!$A$2:$A$301,A249)&gt;0)</f>
        <v/>
      </c>
      <c r="R249" s="13"/>
      <c r="S249" s="13"/>
      <c r="T249" s="15" t="str">
        <f aca="false">IF(A249="","",COUNTIF(Nudges!$C$2:$C$301,A249)&gt;0)</f>
        <v/>
      </c>
      <c r="U249" s="8"/>
      <c r="V249" s="8"/>
    </row>
    <row r="250" customFormat="false" ht="15" hidden="false" customHeight="false" outlineLevel="0" collapsed="false">
      <c r="A250" s="13"/>
      <c r="B250" s="18"/>
      <c r="C250" s="15" t="str">
        <f aca="false">IF(B250="","",INT((B250-Settings!$B$2)/7)+1)</f>
        <v/>
      </c>
      <c r="D250" s="13"/>
      <c r="E250" s="15" t="str">
        <f aca="false">IF(A250="","",OR(D250=Settings!$B$3,AND(Settings!$B$4&lt;&gt;"",D250=Settings!$B$4)))</f>
        <v/>
      </c>
      <c r="F250" s="13"/>
      <c r="G250" s="13"/>
      <c r="H250" s="13"/>
      <c r="I250" s="13"/>
      <c r="J250" s="13"/>
      <c r="K250" s="18"/>
      <c r="L250" s="13"/>
      <c r="M250" s="15" t="str">
        <f aca="false">IF(A250="","",COUNTIFS(Quotes!$B$2:$B$301,A250,Quotes!$G$2:$G$301,"Y"))</f>
        <v/>
      </c>
      <c r="N250" s="17" t="str">
        <f aca="false">IF(A250="","",IF(M250=0,"",_xlfn.MINIFS(Quotes!$F$2:$F$301,Quotes!$B$2:$B$301,A250,Quotes!$G$2:$G$301,"Y")))</f>
        <v/>
      </c>
      <c r="O250" s="15" t="str">
        <f aca="false">IF(A250="","",AND(E250,G250="Y"))</f>
        <v/>
      </c>
      <c r="P250" s="17" t="str">
        <f aca="false">IF(A250="","",IF(AND(O250,N250&lt;&gt;""),N250,""))</f>
        <v/>
      </c>
      <c r="Q250" s="15" t="str">
        <f aca="false">IF(A250="","",COUNTIF(Picks!$A$2:$A$301,A250)&gt;0)</f>
        <v/>
      </c>
      <c r="R250" s="13"/>
      <c r="S250" s="13"/>
      <c r="T250" s="15" t="str">
        <f aca="false">IF(A250="","",COUNTIF(Nudges!$C$2:$C$301,A250)&gt;0)</f>
        <v/>
      </c>
      <c r="U250" s="8"/>
      <c r="V250" s="8"/>
    </row>
    <row r="251" customFormat="false" ht="15" hidden="false" customHeight="false" outlineLevel="0" collapsed="false">
      <c r="A251" s="13"/>
      <c r="B251" s="18"/>
      <c r="C251" s="15" t="str">
        <f aca="false">IF(B251="","",INT((B251-Settings!$B$2)/7)+1)</f>
        <v/>
      </c>
      <c r="D251" s="13"/>
      <c r="E251" s="15" t="str">
        <f aca="false">IF(A251="","",OR(D251=Settings!$B$3,AND(Settings!$B$4&lt;&gt;"",D251=Settings!$B$4)))</f>
        <v/>
      </c>
      <c r="F251" s="13"/>
      <c r="G251" s="13"/>
      <c r="H251" s="13"/>
      <c r="I251" s="13"/>
      <c r="J251" s="13"/>
      <c r="K251" s="18"/>
      <c r="L251" s="13"/>
      <c r="M251" s="15" t="str">
        <f aca="false">IF(A251="","",COUNTIFS(Quotes!$B$2:$B$301,A251,Quotes!$G$2:$G$301,"Y"))</f>
        <v/>
      </c>
      <c r="N251" s="17" t="str">
        <f aca="false">IF(A251="","",IF(M251=0,"",_xlfn.MINIFS(Quotes!$F$2:$F$301,Quotes!$B$2:$B$301,A251,Quotes!$G$2:$G$301,"Y")))</f>
        <v/>
      </c>
      <c r="O251" s="15" t="str">
        <f aca="false">IF(A251="","",AND(E251,G251="Y"))</f>
        <v/>
      </c>
      <c r="P251" s="17" t="str">
        <f aca="false">IF(A251="","",IF(AND(O251,N251&lt;&gt;""),N251,""))</f>
        <v/>
      </c>
      <c r="Q251" s="15" t="str">
        <f aca="false">IF(A251="","",COUNTIF(Picks!$A$2:$A$301,A251)&gt;0)</f>
        <v/>
      </c>
      <c r="R251" s="13"/>
      <c r="S251" s="13"/>
      <c r="T251" s="15" t="str">
        <f aca="false">IF(A251="","",COUNTIF(Nudges!$C$2:$C$301,A251)&gt;0)</f>
        <v/>
      </c>
      <c r="U251" s="8"/>
      <c r="V251" s="8"/>
    </row>
    <row r="252" customFormat="false" ht="15" hidden="false" customHeight="false" outlineLevel="0" collapsed="false">
      <c r="A252" s="13"/>
      <c r="B252" s="18"/>
      <c r="C252" s="15" t="str">
        <f aca="false">IF(B252="","",INT((B252-Settings!$B$2)/7)+1)</f>
        <v/>
      </c>
      <c r="D252" s="13"/>
      <c r="E252" s="15" t="str">
        <f aca="false">IF(A252="","",OR(D252=Settings!$B$3,AND(Settings!$B$4&lt;&gt;"",D252=Settings!$B$4)))</f>
        <v/>
      </c>
      <c r="F252" s="13"/>
      <c r="G252" s="13"/>
      <c r="H252" s="13"/>
      <c r="I252" s="13"/>
      <c r="J252" s="13"/>
      <c r="K252" s="18"/>
      <c r="L252" s="13"/>
      <c r="M252" s="15" t="str">
        <f aca="false">IF(A252="","",COUNTIFS(Quotes!$B$2:$B$301,A252,Quotes!$G$2:$G$301,"Y"))</f>
        <v/>
      </c>
      <c r="N252" s="17" t="str">
        <f aca="false">IF(A252="","",IF(M252=0,"",_xlfn.MINIFS(Quotes!$F$2:$F$301,Quotes!$B$2:$B$301,A252,Quotes!$G$2:$G$301,"Y")))</f>
        <v/>
      </c>
      <c r="O252" s="15" t="str">
        <f aca="false">IF(A252="","",AND(E252,G252="Y"))</f>
        <v/>
      </c>
      <c r="P252" s="17" t="str">
        <f aca="false">IF(A252="","",IF(AND(O252,N252&lt;&gt;""),N252,""))</f>
        <v/>
      </c>
      <c r="Q252" s="15" t="str">
        <f aca="false">IF(A252="","",COUNTIF(Picks!$A$2:$A$301,A252)&gt;0)</f>
        <v/>
      </c>
      <c r="R252" s="13"/>
      <c r="S252" s="13"/>
      <c r="T252" s="15" t="str">
        <f aca="false">IF(A252="","",COUNTIF(Nudges!$C$2:$C$301,A252)&gt;0)</f>
        <v/>
      </c>
      <c r="U252" s="8"/>
      <c r="V252" s="8"/>
    </row>
    <row r="253" customFormat="false" ht="15" hidden="false" customHeight="false" outlineLevel="0" collapsed="false">
      <c r="A253" s="13"/>
      <c r="B253" s="18"/>
      <c r="C253" s="15" t="str">
        <f aca="false">IF(B253="","",INT((B253-Settings!$B$2)/7)+1)</f>
        <v/>
      </c>
      <c r="D253" s="13"/>
      <c r="E253" s="15" t="str">
        <f aca="false">IF(A253="","",OR(D253=Settings!$B$3,AND(Settings!$B$4&lt;&gt;"",D253=Settings!$B$4)))</f>
        <v/>
      </c>
      <c r="F253" s="13"/>
      <c r="G253" s="13"/>
      <c r="H253" s="13"/>
      <c r="I253" s="13"/>
      <c r="J253" s="13"/>
      <c r="K253" s="18"/>
      <c r="L253" s="13"/>
      <c r="M253" s="15" t="str">
        <f aca="false">IF(A253="","",COUNTIFS(Quotes!$B$2:$B$301,A253,Quotes!$G$2:$G$301,"Y"))</f>
        <v/>
      </c>
      <c r="N253" s="17" t="str">
        <f aca="false">IF(A253="","",IF(M253=0,"",_xlfn.MINIFS(Quotes!$F$2:$F$301,Quotes!$B$2:$B$301,A253,Quotes!$G$2:$G$301,"Y")))</f>
        <v/>
      </c>
      <c r="O253" s="15" t="str">
        <f aca="false">IF(A253="","",AND(E253,G253="Y"))</f>
        <v/>
      </c>
      <c r="P253" s="17" t="str">
        <f aca="false">IF(A253="","",IF(AND(O253,N253&lt;&gt;""),N253,""))</f>
        <v/>
      </c>
      <c r="Q253" s="15" t="str">
        <f aca="false">IF(A253="","",COUNTIF(Picks!$A$2:$A$301,A253)&gt;0)</f>
        <v/>
      </c>
      <c r="R253" s="13"/>
      <c r="S253" s="13"/>
      <c r="T253" s="15" t="str">
        <f aca="false">IF(A253="","",COUNTIF(Nudges!$C$2:$C$301,A253)&gt;0)</f>
        <v/>
      </c>
      <c r="U253" s="8"/>
      <c r="V253" s="8"/>
    </row>
    <row r="254" customFormat="false" ht="15" hidden="false" customHeight="false" outlineLevel="0" collapsed="false">
      <c r="A254" s="13"/>
      <c r="B254" s="18"/>
      <c r="C254" s="15" t="str">
        <f aca="false">IF(B254="","",INT((B254-Settings!$B$2)/7)+1)</f>
        <v/>
      </c>
      <c r="D254" s="13"/>
      <c r="E254" s="15" t="str">
        <f aca="false">IF(A254="","",OR(D254=Settings!$B$3,AND(Settings!$B$4&lt;&gt;"",D254=Settings!$B$4)))</f>
        <v/>
      </c>
      <c r="F254" s="13"/>
      <c r="G254" s="13"/>
      <c r="H254" s="13"/>
      <c r="I254" s="13"/>
      <c r="J254" s="13"/>
      <c r="K254" s="18"/>
      <c r="L254" s="13"/>
      <c r="M254" s="15" t="str">
        <f aca="false">IF(A254="","",COUNTIFS(Quotes!$B$2:$B$301,A254,Quotes!$G$2:$G$301,"Y"))</f>
        <v/>
      </c>
      <c r="N254" s="17" t="str">
        <f aca="false">IF(A254="","",IF(M254=0,"",_xlfn.MINIFS(Quotes!$F$2:$F$301,Quotes!$B$2:$B$301,A254,Quotes!$G$2:$G$301,"Y")))</f>
        <v/>
      </c>
      <c r="O254" s="15" t="str">
        <f aca="false">IF(A254="","",AND(E254,G254="Y"))</f>
        <v/>
      </c>
      <c r="P254" s="17" t="str">
        <f aca="false">IF(A254="","",IF(AND(O254,N254&lt;&gt;""),N254,""))</f>
        <v/>
      </c>
      <c r="Q254" s="15" t="str">
        <f aca="false">IF(A254="","",COUNTIF(Picks!$A$2:$A$301,A254)&gt;0)</f>
        <v/>
      </c>
      <c r="R254" s="13"/>
      <c r="S254" s="13"/>
      <c r="T254" s="15" t="str">
        <f aca="false">IF(A254="","",COUNTIF(Nudges!$C$2:$C$301,A254)&gt;0)</f>
        <v/>
      </c>
      <c r="U254" s="8"/>
      <c r="V254" s="8"/>
    </row>
    <row r="255" customFormat="false" ht="15" hidden="false" customHeight="false" outlineLevel="0" collapsed="false">
      <c r="A255" s="13"/>
      <c r="B255" s="18"/>
      <c r="C255" s="15" t="str">
        <f aca="false">IF(B255="","",INT((B255-Settings!$B$2)/7)+1)</f>
        <v/>
      </c>
      <c r="D255" s="13"/>
      <c r="E255" s="15" t="str">
        <f aca="false">IF(A255="","",OR(D255=Settings!$B$3,AND(Settings!$B$4&lt;&gt;"",D255=Settings!$B$4)))</f>
        <v/>
      </c>
      <c r="F255" s="13"/>
      <c r="G255" s="13"/>
      <c r="H255" s="13"/>
      <c r="I255" s="13"/>
      <c r="J255" s="13"/>
      <c r="K255" s="18"/>
      <c r="L255" s="13"/>
      <c r="M255" s="15" t="str">
        <f aca="false">IF(A255="","",COUNTIFS(Quotes!$B$2:$B$301,A255,Quotes!$G$2:$G$301,"Y"))</f>
        <v/>
      </c>
      <c r="N255" s="17" t="str">
        <f aca="false">IF(A255="","",IF(M255=0,"",_xlfn.MINIFS(Quotes!$F$2:$F$301,Quotes!$B$2:$B$301,A255,Quotes!$G$2:$G$301,"Y")))</f>
        <v/>
      </c>
      <c r="O255" s="15" t="str">
        <f aca="false">IF(A255="","",AND(E255,G255="Y"))</f>
        <v/>
      </c>
      <c r="P255" s="17" t="str">
        <f aca="false">IF(A255="","",IF(AND(O255,N255&lt;&gt;""),N255,""))</f>
        <v/>
      </c>
      <c r="Q255" s="15" t="str">
        <f aca="false">IF(A255="","",COUNTIF(Picks!$A$2:$A$301,A255)&gt;0)</f>
        <v/>
      </c>
      <c r="R255" s="13"/>
      <c r="S255" s="13"/>
      <c r="T255" s="15" t="str">
        <f aca="false">IF(A255="","",COUNTIF(Nudges!$C$2:$C$301,A255)&gt;0)</f>
        <v/>
      </c>
      <c r="U255" s="8"/>
      <c r="V255" s="8"/>
    </row>
    <row r="256" customFormat="false" ht="15" hidden="false" customHeight="false" outlineLevel="0" collapsed="false">
      <c r="A256" s="13"/>
      <c r="B256" s="18"/>
      <c r="C256" s="15" t="str">
        <f aca="false">IF(B256="","",INT((B256-Settings!$B$2)/7)+1)</f>
        <v/>
      </c>
      <c r="D256" s="13"/>
      <c r="E256" s="15" t="str">
        <f aca="false">IF(A256="","",OR(D256=Settings!$B$3,AND(Settings!$B$4&lt;&gt;"",D256=Settings!$B$4)))</f>
        <v/>
      </c>
      <c r="F256" s="13"/>
      <c r="G256" s="13"/>
      <c r="H256" s="13"/>
      <c r="I256" s="13"/>
      <c r="J256" s="13"/>
      <c r="K256" s="18"/>
      <c r="L256" s="13"/>
      <c r="M256" s="15" t="str">
        <f aca="false">IF(A256="","",COUNTIFS(Quotes!$B$2:$B$301,A256,Quotes!$G$2:$G$301,"Y"))</f>
        <v/>
      </c>
      <c r="N256" s="17" t="str">
        <f aca="false">IF(A256="","",IF(M256=0,"",_xlfn.MINIFS(Quotes!$F$2:$F$301,Quotes!$B$2:$B$301,A256,Quotes!$G$2:$G$301,"Y")))</f>
        <v/>
      </c>
      <c r="O256" s="15" t="str">
        <f aca="false">IF(A256="","",AND(E256,G256="Y"))</f>
        <v/>
      </c>
      <c r="P256" s="17" t="str">
        <f aca="false">IF(A256="","",IF(AND(O256,N256&lt;&gt;""),N256,""))</f>
        <v/>
      </c>
      <c r="Q256" s="15" t="str">
        <f aca="false">IF(A256="","",COUNTIF(Picks!$A$2:$A$301,A256)&gt;0)</f>
        <v/>
      </c>
      <c r="R256" s="13"/>
      <c r="S256" s="13"/>
      <c r="T256" s="15" t="str">
        <f aca="false">IF(A256="","",COUNTIF(Nudges!$C$2:$C$301,A256)&gt;0)</f>
        <v/>
      </c>
      <c r="U256" s="8"/>
      <c r="V256" s="8"/>
    </row>
    <row r="257" customFormat="false" ht="15" hidden="false" customHeight="false" outlineLevel="0" collapsed="false">
      <c r="A257" s="13"/>
      <c r="B257" s="18"/>
      <c r="C257" s="15" t="str">
        <f aca="false">IF(B257="","",INT((B257-Settings!$B$2)/7)+1)</f>
        <v/>
      </c>
      <c r="D257" s="13"/>
      <c r="E257" s="15" t="str">
        <f aca="false">IF(A257="","",OR(D257=Settings!$B$3,AND(Settings!$B$4&lt;&gt;"",D257=Settings!$B$4)))</f>
        <v/>
      </c>
      <c r="F257" s="13"/>
      <c r="G257" s="13"/>
      <c r="H257" s="13"/>
      <c r="I257" s="13"/>
      <c r="J257" s="13"/>
      <c r="K257" s="18"/>
      <c r="L257" s="13"/>
      <c r="M257" s="15" t="str">
        <f aca="false">IF(A257="","",COUNTIFS(Quotes!$B$2:$B$301,A257,Quotes!$G$2:$G$301,"Y"))</f>
        <v/>
      </c>
      <c r="N257" s="17" t="str">
        <f aca="false">IF(A257="","",IF(M257=0,"",_xlfn.MINIFS(Quotes!$F$2:$F$301,Quotes!$B$2:$B$301,A257,Quotes!$G$2:$G$301,"Y")))</f>
        <v/>
      </c>
      <c r="O257" s="15" t="str">
        <f aca="false">IF(A257="","",AND(E257,G257="Y"))</f>
        <v/>
      </c>
      <c r="P257" s="17" t="str">
        <f aca="false">IF(A257="","",IF(AND(O257,N257&lt;&gt;""),N257,""))</f>
        <v/>
      </c>
      <c r="Q257" s="15" t="str">
        <f aca="false">IF(A257="","",COUNTIF(Picks!$A$2:$A$301,A257)&gt;0)</f>
        <v/>
      </c>
      <c r="R257" s="13"/>
      <c r="S257" s="13"/>
      <c r="T257" s="15" t="str">
        <f aca="false">IF(A257="","",COUNTIF(Nudges!$C$2:$C$301,A257)&gt;0)</f>
        <v/>
      </c>
      <c r="U257" s="8"/>
      <c r="V257" s="8"/>
    </row>
    <row r="258" customFormat="false" ht="15" hidden="false" customHeight="false" outlineLevel="0" collapsed="false">
      <c r="A258" s="13"/>
      <c r="B258" s="18"/>
      <c r="C258" s="15" t="str">
        <f aca="false">IF(B258="","",INT((B258-Settings!$B$2)/7)+1)</f>
        <v/>
      </c>
      <c r="D258" s="13"/>
      <c r="E258" s="15" t="str">
        <f aca="false">IF(A258="","",OR(D258=Settings!$B$3,AND(Settings!$B$4&lt;&gt;"",D258=Settings!$B$4)))</f>
        <v/>
      </c>
      <c r="F258" s="13"/>
      <c r="G258" s="13"/>
      <c r="H258" s="13"/>
      <c r="I258" s="13"/>
      <c r="J258" s="13"/>
      <c r="K258" s="18"/>
      <c r="L258" s="13"/>
      <c r="M258" s="15" t="str">
        <f aca="false">IF(A258="","",COUNTIFS(Quotes!$B$2:$B$301,A258,Quotes!$G$2:$G$301,"Y"))</f>
        <v/>
      </c>
      <c r="N258" s="17" t="str">
        <f aca="false">IF(A258="","",IF(M258=0,"",_xlfn.MINIFS(Quotes!$F$2:$F$301,Quotes!$B$2:$B$301,A258,Quotes!$G$2:$G$301,"Y")))</f>
        <v/>
      </c>
      <c r="O258" s="15" t="str">
        <f aca="false">IF(A258="","",AND(E258,G258="Y"))</f>
        <v/>
      </c>
      <c r="P258" s="17" t="str">
        <f aca="false">IF(A258="","",IF(AND(O258,N258&lt;&gt;""),N258,""))</f>
        <v/>
      </c>
      <c r="Q258" s="15" t="str">
        <f aca="false">IF(A258="","",COUNTIF(Picks!$A$2:$A$301,A258)&gt;0)</f>
        <v/>
      </c>
      <c r="R258" s="13"/>
      <c r="S258" s="13"/>
      <c r="T258" s="15" t="str">
        <f aca="false">IF(A258="","",COUNTIF(Nudges!$C$2:$C$301,A258)&gt;0)</f>
        <v/>
      </c>
      <c r="U258" s="8"/>
      <c r="V258" s="8"/>
    </row>
    <row r="259" customFormat="false" ht="15" hidden="false" customHeight="false" outlineLevel="0" collapsed="false">
      <c r="A259" s="13"/>
      <c r="B259" s="18"/>
      <c r="C259" s="15" t="str">
        <f aca="false">IF(B259="","",INT((B259-Settings!$B$2)/7)+1)</f>
        <v/>
      </c>
      <c r="D259" s="13"/>
      <c r="E259" s="15" t="str">
        <f aca="false">IF(A259="","",OR(D259=Settings!$B$3,AND(Settings!$B$4&lt;&gt;"",D259=Settings!$B$4)))</f>
        <v/>
      </c>
      <c r="F259" s="13"/>
      <c r="G259" s="13"/>
      <c r="H259" s="13"/>
      <c r="I259" s="13"/>
      <c r="J259" s="13"/>
      <c r="K259" s="18"/>
      <c r="L259" s="13"/>
      <c r="M259" s="15" t="str">
        <f aca="false">IF(A259="","",COUNTIFS(Quotes!$B$2:$B$301,A259,Quotes!$G$2:$G$301,"Y"))</f>
        <v/>
      </c>
      <c r="N259" s="17" t="str">
        <f aca="false">IF(A259="","",IF(M259=0,"",_xlfn.MINIFS(Quotes!$F$2:$F$301,Quotes!$B$2:$B$301,A259,Quotes!$G$2:$G$301,"Y")))</f>
        <v/>
      </c>
      <c r="O259" s="15" t="str">
        <f aca="false">IF(A259="","",AND(E259,G259="Y"))</f>
        <v/>
      </c>
      <c r="P259" s="17" t="str">
        <f aca="false">IF(A259="","",IF(AND(O259,N259&lt;&gt;""),N259,""))</f>
        <v/>
      </c>
      <c r="Q259" s="15" t="str">
        <f aca="false">IF(A259="","",COUNTIF(Picks!$A$2:$A$301,A259)&gt;0)</f>
        <v/>
      </c>
      <c r="R259" s="13"/>
      <c r="S259" s="13"/>
      <c r="T259" s="15" t="str">
        <f aca="false">IF(A259="","",COUNTIF(Nudges!$C$2:$C$301,A259)&gt;0)</f>
        <v/>
      </c>
      <c r="U259" s="8"/>
      <c r="V259" s="8"/>
    </row>
    <row r="260" customFormat="false" ht="15" hidden="false" customHeight="false" outlineLevel="0" collapsed="false">
      <c r="A260" s="13"/>
      <c r="B260" s="18"/>
      <c r="C260" s="15" t="str">
        <f aca="false">IF(B260="","",INT((B260-Settings!$B$2)/7)+1)</f>
        <v/>
      </c>
      <c r="D260" s="13"/>
      <c r="E260" s="15" t="str">
        <f aca="false">IF(A260="","",OR(D260=Settings!$B$3,AND(Settings!$B$4&lt;&gt;"",D260=Settings!$B$4)))</f>
        <v/>
      </c>
      <c r="F260" s="13"/>
      <c r="G260" s="13"/>
      <c r="H260" s="13"/>
      <c r="I260" s="13"/>
      <c r="J260" s="13"/>
      <c r="K260" s="18"/>
      <c r="L260" s="13"/>
      <c r="M260" s="15" t="str">
        <f aca="false">IF(A260="","",COUNTIFS(Quotes!$B$2:$B$301,A260,Quotes!$G$2:$G$301,"Y"))</f>
        <v/>
      </c>
      <c r="N260" s="17" t="str">
        <f aca="false">IF(A260="","",IF(M260=0,"",_xlfn.MINIFS(Quotes!$F$2:$F$301,Quotes!$B$2:$B$301,A260,Quotes!$G$2:$G$301,"Y")))</f>
        <v/>
      </c>
      <c r="O260" s="15" t="str">
        <f aca="false">IF(A260="","",AND(E260,G260="Y"))</f>
        <v/>
      </c>
      <c r="P260" s="17" t="str">
        <f aca="false">IF(A260="","",IF(AND(O260,N260&lt;&gt;""),N260,""))</f>
        <v/>
      </c>
      <c r="Q260" s="15" t="str">
        <f aca="false">IF(A260="","",COUNTIF(Picks!$A$2:$A$301,A260)&gt;0)</f>
        <v/>
      </c>
      <c r="R260" s="13"/>
      <c r="S260" s="13"/>
      <c r="T260" s="15" t="str">
        <f aca="false">IF(A260="","",COUNTIF(Nudges!$C$2:$C$301,A260)&gt;0)</f>
        <v/>
      </c>
      <c r="U260" s="8"/>
      <c r="V260" s="8"/>
    </row>
    <row r="261" customFormat="false" ht="15" hidden="false" customHeight="false" outlineLevel="0" collapsed="false">
      <c r="A261" s="13"/>
      <c r="B261" s="18"/>
      <c r="C261" s="15" t="str">
        <f aca="false">IF(B261="","",INT((B261-Settings!$B$2)/7)+1)</f>
        <v/>
      </c>
      <c r="D261" s="13"/>
      <c r="E261" s="15" t="str">
        <f aca="false">IF(A261="","",OR(D261=Settings!$B$3,AND(Settings!$B$4&lt;&gt;"",D261=Settings!$B$4)))</f>
        <v/>
      </c>
      <c r="F261" s="13"/>
      <c r="G261" s="13"/>
      <c r="H261" s="13"/>
      <c r="I261" s="13"/>
      <c r="J261" s="13"/>
      <c r="K261" s="18"/>
      <c r="L261" s="13"/>
      <c r="M261" s="15" t="str">
        <f aca="false">IF(A261="","",COUNTIFS(Quotes!$B$2:$B$301,A261,Quotes!$G$2:$G$301,"Y"))</f>
        <v/>
      </c>
      <c r="N261" s="17" t="str">
        <f aca="false">IF(A261="","",IF(M261=0,"",_xlfn.MINIFS(Quotes!$F$2:$F$301,Quotes!$B$2:$B$301,A261,Quotes!$G$2:$G$301,"Y")))</f>
        <v/>
      </c>
      <c r="O261" s="15" t="str">
        <f aca="false">IF(A261="","",AND(E261,G261="Y"))</f>
        <v/>
      </c>
      <c r="P261" s="17" t="str">
        <f aca="false">IF(A261="","",IF(AND(O261,N261&lt;&gt;""),N261,""))</f>
        <v/>
      </c>
      <c r="Q261" s="15" t="str">
        <f aca="false">IF(A261="","",COUNTIF(Picks!$A$2:$A$301,A261)&gt;0)</f>
        <v/>
      </c>
      <c r="R261" s="13"/>
      <c r="S261" s="13"/>
      <c r="T261" s="15" t="str">
        <f aca="false">IF(A261="","",COUNTIF(Nudges!$C$2:$C$301,A261)&gt;0)</f>
        <v/>
      </c>
      <c r="U261" s="8"/>
      <c r="V261" s="8"/>
    </row>
    <row r="262" customFormat="false" ht="15" hidden="false" customHeight="false" outlineLevel="0" collapsed="false">
      <c r="A262" s="13"/>
      <c r="B262" s="18"/>
      <c r="C262" s="15" t="str">
        <f aca="false">IF(B262="","",INT((B262-Settings!$B$2)/7)+1)</f>
        <v/>
      </c>
      <c r="D262" s="13"/>
      <c r="E262" s="15" t="str">
        <f aca="false">IF(A262="","",OR(D262=Settings!$B$3,AND(Settings!$B$4&lt;&gt;"",D262=Settings!$B$4)))</f>
        <v/>
      </c>
      <c r="F262" s="13"/>
      <c r="G262" s="13"/>
      <c r="H262" s="13"/>
      <c r="I262" s="13"/>
      <c r="J262" s="13"/>
      <c r="K262" s="18"/>
      <c r="L262" s="13"/>
      <c r="M262" s="15" t="str">
        <f aca="false">IF(A262="","",COUNTIFS(Quotes!$B$2:$B$301,A262,Quotes!$G$2:$G$301,"Y"))</f>
        <v/>
      </c>
      <c r="N262" s="17" t="str">
        <f aca="false">IF(A262="","",IF(M262=0,"",_xlfn.MINIFS(Quotes!$F$2:$F$301,Quotes!$B$2:$B$301,A262,Quotes!$G$2:$G$301,"Y")))</f>
        <v/>
      </c>
      <c r="O262" s="15" t="str">
        <f aca="false">IF(A262="","",AND(E262,G262="Y"))</f>
        <v/>
      </c>
      <c r="P262" s="17" t="str">
        <f aca="false">IF(A262="","",IF(AND(O262,N262&lt;&gt;""),N262,""))</f>
        <v/>
      </c>
      <c r="Q262" s="15" t="str">
        <f aca="false">IF(A262="","",COUNTIF(Picks!$A$2:$A$301,A262)&gt;0)</f>
        <v/>
      </c>
      <c r="R262" s="13"/>
      <c r="S262" s="13"/>
      <c r="T262" s="15" t="str">
        <f aca="false">IF(A262="","",COUNTIF(Nudges!$C$2:$C$301,A262)&gt;0)</f>
        <v/>
      </c>
      <c r="U262" s="8"/>
      <c r="V262" s="8"/>
    </row>
    <row r="263" customFormat="false" ht="15" hidden="false" customHeight="false" outlineLevel="0" collapsed="false">
      <c r="A263" s="13"/>
      <c r="B263" s="18"/>
      <c r="C263" s="15" t="str">
        <f aca="false">IF(B263="","",INT((B263-Settings!$B$2)/7)+1)</f>
        <v/>
      </c>
      <c r="D263" s="13"/>
      <c r="E263" s="15" t="str">
        <f aca="false">IF(A263="","",OR(D263=Settings!$B$3,AND(Settings!$B$4&lt;&gt;"",D263=Settings!$B$4)))</f>
        <v/>
      </c>
      <c r="F263" s="13"/>
      <c r="G263" s="13"/>
      <c r="H263" s="13"/>
      <c r="I263" s="13"/>
      <c r="J263" s="13"/>
      <c r="K263" s="18"/>
      <c r="L263" s="13"/>
      <c r="M263" s="15" t="str">
        <f aca="false">IF(A263="","",COUNTIFS(Quotes!$B$2:$B$301,A263,Quotes!$G$2:$G$301,"Y"))</f>
        <v/>
      </c>
      <c r="N263" s="17" t="str">
        <f aca="false">IF(A263="","",IF(M263=0,"",_xlfn.MINIFS(Quotes!$F$2:$F$301,Quotes!$B$2:$B$301,A263,Quotes!$G$2:$G$301,"Y")))</f>
        <v/>
      </c>
      <c r="O263" s="15" t="str">
        <f aca="false">IF(A263="","",AND(E263,G263="Y"))</f>
        <v/>
      </c>
      <c r="P263" s="17" t="str">
        <f aca="false">IF(A263="","",IF(AND(O263,N263&lt;&gt;""),N263,""))</f>
        <v/>
      </c>
      <c r="Q263" s="15" t="str">
        <f aca="false">IF(A263="","",COUNTIF(Picks!$A$2:$A$301,A263)&gt;0)</f>
        <v/>
      </c>
      <c r="R263" s="13"/>
      <c r="S263" s="13"/>
      <c r="T263" s="15" t="str">
        <f aca="false">IF(A263="","",COUNTIF(Nudges!$C$2:$C$301,A263)&gt;0)</f>
        <v/>
      </c>
      <c r="U263" s="8"/>
      <c r="V263" s="8"/>
    </row>
    <row r="264" customFormat="false" ht="15" hidden="false" customHeight="false" outlineLevel="0" collapsed="false">
      <c r="A264" s="13"/>
      <c r="B264" s="18"/>
      <c r="C264" s="15" t="str">
        <f aca="false">IF(B264="","",INT((B264-Settings!$B$2)/7)+1)</f>
        <v/>
      </c>
      <c r="D264" s="13"/>
      <c r="E264" s="15" t="str">
        <f aca="false">IF(A264="","",OR(D264=Settings!$B$3,AND(Settings!$B$4&lt;&gt;"",D264=Settings!$B$4)))</f>
        <v/>
      </c>
      <c r="F264" s="13"/>
      <c r="G264" s="13"/>
      <c r="H264" s="13"/>
      <c r="I264" s="13"/>
      <c r="J264" s="13"/>
      <c r="K264" s="18"/>
      <c r="L264" s="13"/>
      <c r="M264" s="15" t="str">
        <f aca="false">IF(A264="","",COUNTIFS(Quotes!$B$2:$B$301,A264,Quotes!$G$2:$G$301,"Y"))</f>
        <v/>
      </c>
      <c r="N264" s="17" t="str">
        <f aca="false">IF(A264="","",IF(M264=0,"",_xlfn.MINIFS(Quotes!$F$2:$F$301,Quotes!$B$2:$B$301,A264,Quotes!$G$2:$G$301,"Y")))</f>
        <v/>
      </c>
      <c r="O264" s="15" t="str">
        <f aca="false">IF(A264="","",AND(E264,G264="Y"))</f>
        <v/>
      </c>
      <c r="P264" s="17" t="str">
        <f aca="false">IF(A264="","",IF(AND(O264,N264&lt;&gt;""),N264,""))</f>
        <v/>
      </c>
      <c r="Q264" s="15" t="str">
        <f aca="false">IF(A264="","",COUNTIF(Picks!$A$2:$A$301,A264)&gt;0)</f>
        <v/>
      </c>
      <c r="R264" s="13"/>
      <c r="S264" s="13"/>
      <c r="T264" s="15" t="str">
        <f aca="false">IF(A264="","",COUNTIF(Nudges!$C$2:$C$301,A264)&gt;0)</f>
        <v/>
      </c>
      <c r="U264" s="8"/>
      <c r="V264" s="8"/>
    </row>
    <row r="265" customFormat="false" ht="15" hidden="false" customHeight="false" outlineLevel="0" collapsed="false">
      <c r="A265" s="13"/>
      <c r="B265" s="18"/>
      <c r="C265" s="15" t="str">
        <f aca="false">IF(B265="","",INT((B265-Settings!$B$2)/7)+1)</f>
        <v/>
      </c>
      <c r="D265" s="13"/>
      <c r="E265" s="15" t="str">
        <f aca="false">IF(A265="","",OR(D265=Settings!$B$3,AND(Settings!$B$4&lt;&gt;"",D265=Settings!$B$4)))</f>
        <v/>
      </c>
      <c r="F265" s="13"/>
      <c r="G265" s="13"/>
      <c r="H265" s="13"/>
      <c r="I265" s="13"/>
      <c r="J265" s="13"/>
      <c r="K265" s="18"/>
      <c r="L265" s="13"/>
      <c r="M265" s="15" t="str">
        <f aca="false">IF(A265="","",COUNTIFS(Quotes!$B$2:$B$301,A265,Quotes!$G$2:$G$301,"Y"))</f>
        <v/>
      </c>
      <c r="N265" s="17" t="str">
        <f aca="false">IF(A265="","",IF(M265=0,"",_xlfn.MINIFS(Quotes!$F$2:$F$301,Quotes!$B$2:$B$301,A265,Quotes!$G$2:$G$301,"Y")))</f>
        <v/>
      </c>
      <c r="O265" s="15" t="str">
        <f aca="false">IF(A265="","",AND(E265,G265="Y"))</f>
        <v/>
      </c>
      <c r="P265" s="17" t="str">
        <f aca="false">IF(A265="","",IF(AND(O265,N265&lt;&gt;""),N265,""))</f>
        <v/>
      </c>
      <c r="Q265" s="15" t="str">
        <f aca="false">IF(A265="","",COUNTIF(Picks!$A$2:$A$301,A265)&gt;0)</f>
        <v/>
      </c>
      <c r="R265" s="13"/>
      <c r="S265" s="13"/>
      <c r="T265" s="15" t="str">
        <f aca="false">IF(A265="","",COUNTIF(Nudges!$C$2:$C$301,A265)&gt;0)</f>
        <v/>
      </c>
      <c r="U265" s="8"/>
      <c r="V265" s="8"/>
    </row>
    <row r="266" customFormat="false" ht="15" hidden="false" customHeight="false" outlineLevel="0" collapsed="false">
      <c r="A266" s="13"/>
      <c r="B266" s="18"/>
      <c r="C266" s="15" t="str">
        <f aca="false">IF(B266="","",INT((B266-Settings!$B$2)/7)+1)</f>
        <v/>
      </c>
      <c r="D266" s="13"/>
      <c r="E266" s="15" t="str">
        <f aca="false">IF(A266="","",OR(D266=Settings!$B$3,AND(Settings!$B$4&lt;&gt;"",D266=Settings!$B$4)))</f>
        <v/>
      </c>
      <c r="F266" s="13"/>
      <c r="G266" s="13"/>
      <c r="H266" s="13"/>
      <c r="I266" s="13"/>
      <c r="J266" s="13"/>
      <c r="K266" s="18"/>
      <c r="L266" s="13"/>
      <c r="M266" s="15" t="str">
        <f aca="false">IF(A266="","",COUNTIFS(Quotes!$B$2:$B$301,A266,Quotes!$G$2:$G$301,"Y"))</f>
        <v/>
      </c>
      <c r="N266" s="17" t="str">
        <f aca="false">IF(A266="","",IF(M266=0,"",_xlfn.MINIFS(Quotes!$F$2:$F$301,Quotes!$B$2:$B$301,A266,Quotes!$G$2:$G$301,"Y")))</f>
        <v/>
      </c>
      <c r="O266" s="15" t="str">
        <f aca="false">IF(A266="","",AND(E266,G266="Y"))</f>
        <v/>
      </c>
      <c r="P266" s="17" t="str">
        <f aca="false">IF(A266="","",IF(AND(O266,N266&lt;&gt;""),N266,""))</f>
        <v/>
      </c>
      <c r="Q266" s="15" t="str">
        <f aca="false">IF(A266="","",COUNTIF(Picks!$A$2:$A$301,A266)&gt;0)</f>
        <v/>
      </c>
      <c r="R266" s="13"/>
      <c r="S266" s="13"/>
      <c r="T266" s="15" t="str">
        <f aca="false">IF(A266="","",COUNTIF(Nudges!$C$2:$C$301,A266)&gt;0)</f>
        <v/>
      </c>
      <c r="U266" s="8"/>
      <c r="V266" s="8"/>
    </row>
    <row r="267" customFormat="false" ht="15" hidden="false" customHeight="false" outlineLevel="0" collapsed="false">
      <c r="A267" s="13"/>
      <c r="B267" s="18"/>
      <c r="C267" s="15" t="str">
        <f aca="false">IF(B267="","",INT((B267-Settings!$B$2)/7)+1)</f>
        <v/>
      </c>
      <c r="D267" s="13"/>
      <c r="E267" s="15" t="str">
        <f aca="false">IF(A267="","",OR(D267=Settings!$B$3,AND(Settings!$B$4&lt;&gt;"",D267=Settings!$B$4)))</f>
        <v/>
      </c>
      <c r="F267" s="13"/>
      <c r="G267" s="13"/>
      <c r="H267" s="13"/>
      <c r="I267" s="13"/>
      <c r="J267" s="13"/>
      <c r="K267" s="18"/>
      <c r="L267" s="13"/>
      <c r="M267" s="15" t="str">
        <f aca="false">IF(A267="","",COUNTIFS(Quotes!$B$2:$B$301,A267,Quotes!$G$2:$G$301,"Y"))</f>
        <v/>
      </c>
      <c r="N267" s="17" t="str">
        <f aca="false">IF(A267="","",IF(M267=0,"",_xlfn.MINIFS(Quotes!$F$2:$F$301,Quotes!$B$2:$B$301,A267,Quotes!$G$2:$G$301,"Y")))</f>
        <v/>
      </c>
      <c r="O267" s="15" t="str">
        <f aca="false">IF(A267="","",AND(E267,G267="Y"))</f>
        <v/>
      </c>
      <c r="P267" s="17" t="str">
        <f aca="false">IF(A267="","",IF(AND(O267,N267&lt;&gt;""),N267,""))</f>
        <v/>
      </c>
      <c r="Q267" s="15" t="str">
        <f aca="false">IF(A267="","",COUNTIF(Picks!$A$2:$A$301,A267)&gt;0)</f>
        <v/>
      </c>
      <c r="R267" s="13"/>
      <c r="S267" s="13"/>
      <c r="T267" s="15" t="str">
        <f aca="false">IF(A267="","",COUNTIF(Nudges!$C$2:$C$301,A267)&gt;0)</f>
        <v/>
      </c>
      <c r="U267" s="8"/>
      <c r="V267" s="8"/>
    </row>
    <row r="268" customFormat="false" ht="15" hidden="false" customHeight="false" outlineLevel="0" collapsed="false">
      <c r="A268" s="13"/>
      <c r="B268" s="18"/>
      <c r="C268" s="15" t="str">
        <f aca="false">IF(B268="","",INT((B268-Settings!$B$2)/7)+1)</f>
        <v/>
      </c>
      <c r="D268" s="13"/>
      <c r="E268" s="15" t="str">
        <f aca="false">IF(A268="","",OR(D268=Settings!$B$3,AND(Settings!$B$4&lt;&gt;"",D268=Settings!$B$4)))</f>
        <v/>
      </c>
      <c r="F268" s="13"/>
      <c r="G268" s="13"/>
      <c r="H268" s="13"/>
      <c r="I268" s="13"/>
      <c r="J268" s="13"/>
      <c r="K268" s="18"/>
      <c r="L268" s="13"/>
      <c r="M268" s="15" t="str">
        <f aca="false">IF(A268="","",COUNTIFS(Quotes!$B$2:$B$301,A268,Quotes!$G$2:$G$301,"Y"))</f>
        <v/>
      </c>
      <c r="N268" s="17" t="str">
        <f aca="false">IF(A268="","",IF(M268=0,"",_xlfn.MINIFS(Quotes!$F$2:$F$301,Quotes!$B$2:$B$301,A268,Quotes!$G$2:$G$301,"Y")))</f>
        <v/>
      </c>
      <c r="O268" s="15" t="str">
        <f aca="false">IF(A268="","",AND(E268,G268="Y"))</f>
        <v/>
      </c>
      <c r="P268" s="17" t="str">
        <f aca="false">IF(A268="","",IF(AND(O268,N268&lt;&gt;""),N268,""))</f>
        <v/>
      </c>
      <c r="Q268" s="15" t="str">
        <f aca="false">IF(A268="","",COUNTIF(Picks!$A$2:$A$301,A268)&gt;0)</f>
        <v/>
      </c>
      <c r="R268" s="13"/>
      <c r="S268" s="13"/>
      <c r="T268" s="15" t="str">
        <f aca="false">IF(A268="","",COUNTIF(Nudges!$C$2:$C$301,A268)&gt;0)</f>
        <v/>
      </c>
      <c r="U268" s="8"/>
      <c r="V268" s="8"/>
    </row>
    <row r="269" customFormat="false" ht="15" hidden="false" customHeight="false" outlineLevel="0" collapsed="false">
      <c r="A269" s="13"/>
      <c r="B269" s="18"/>
      <c r="C269" s="15" t="str">
        <f aca="false">IF(B269="","",INT((B269-Settings!$B$2)/7)+1)</f>
        <v/>
      </c>
      <c r="D269" s="13"/>
      <c r="E269" s="15" t="str">
        <f aca="false">IF(A269="","",OR(D269=Settings!$B$3,AND(Settings!$B$4&lt;&gt;"",D269=Settings!$B$4)))</f>
        <v/>
      </c>
      <c r="F269" s="13"/>
      <c r="G269" s="13"/>
      <c r="H269" s="13"/>
      <c r="I269" s="13"/>
      <c r="J269" s="13"/>
      <c r="K269" s="18"/>
      <c r="L269" s="13"/>
      <c r="M269" s="15" t="str">
        <f aca="false">IF(A269="","",COUNTIFS(Quotes!$B$2:$B$301,A269,Quotes!$G$2:$G$301,"Y"))</f>
        <v/>
      </c>
      <c r="N269" s="17" t="str">
        <f aca="false">IF(A269="","",IF(M269=0,"",_xlfn.MINIFS(Quotes!$F$2:$F$301,Quotes!$B$2:$B$301,A269,Quotes!$G$2:$G$301,"Y")))</f>
        <v/>
      </c>
      <c r="O269" s="15" t="str">
        <f aca="false">IF(A269="","",AND(E269,G269="Y"))</f>
        <v/>
      </c>
      <c r="P269" s="17" t="str">
        <f aca="false">IF(A269="","",IF(AND(O269,N269&lt;&gt;""),N269,""))</f>
        <v/>
      </c>
      <c r="Q269" s="15" t="str">
        <f aca="false">IF(A269="","",COUNTIF(Picks!$A$2:$A$301,A269)&gt;0)</f>
        <v/>
      </c>
      <c r="R269" s="13"/>
      <c r="S269" s="13"/>
      <c r="T269" s="15" t="str">
        <f aca="false">IF(A269="","",COUNTIF(Nudges!$C$2:$C$301,A269)&gt;0)</f>
        <v/>
      </c>
      <c r="U269" s="8"/>
      <c r="V269" s="8"/>
    </row>
    <row r="270" customFormat="false" ht="15" hidden="false" customHeight="false" outlineLevel="0" collapsed="false">
      <c r="A270" s="13"/>
      <c r="B270" s="18"/>
      <c r="C270" s="15" t="str">
        <f aca="false">IF(B270="","",INT((B270-Settings!$B$2)/7)+1)</f>
        <v/>
      </c>
      <c r="D270" s="13"/>
      <c r="E270" s="15" t="str">
        <f aca="false">IF(A270="","",OR(D270=Settings!$B$3,AND(Settings!$B$4&lt;&gt;"",D270=Settings!$B$4)))</f>
        <v/>
      </c>
      <c r="F270" s="13"/>
      <c r="G270" s="13"/>
      <c r="H270" s="13"/>
      <c r="I270" s="13"/>
      <c r="J270" s="13"/>
      <c r="K270" s="18"/>
      <c r="L270" s="13"/>
      <c r="M270" s="15" t="str">
        <f aca="false">IF(A270="","",COUNTIFS(Quotes!$B$2:$B$301,A270,Quotes!$G$2:$G$301,"Y"))</f>
        <v/>
      </c>
      <c r="N270" s="17" t="str">
        <f aca="false">IF(A270="","",IF(M270=0,"",_xlfn.MINIFS(Quotes!$F$2:$F$301,Quotes!$B$2:$B$301,A270,Quotes!$G$2:$G$301,"Y")))</f>
        <v/>
      </c>
      <c r="O270" s="15" t="str">
        <f aca="false">IF(A270="","",AND(E270,G270="Y"))</f>
        <v/>
      </c>
      <c r="P270" s="17" t="str">
        <f aca="false">IF(A270="","",IF(AND(O270,N270&lt;&gt;""),N270,""))</f>
        <v/>
      </c>
      <c r="Q270" s="15" t="str">
        <f aca="false">IF(A270="","",COUNTIF(Picks!$A$2:$A$301,A270)&gt;0)</f>
        <v/>
      </c>
      <c r="R270" s="13"/>
      <c r="S270" s="13"/>
      <c r="T270" s="15" t="str">
        <f aca="false">IF(A270="","",COUNTIF(Nudges!$C$2:$C$301,A270)&gt;0)</f>
        <v/>
      </c>
      <c r="U270" s="8"/>
      <c r="V270" s="8"/>
    </row>
    <row r="271" customFormat="false" ht="15" hidden="false" customHeight="false" outlineLevel="0" collapsed="false">
      <c r="A271" s="13"/>
      <c r="B271" s="18"/>
      <c r="C271" s="15" t="str">
        <f aca="false">IF(B271="","",INT((B271-Settings!$B$2)/7)+1)</f>
        <v/>
      </c>
      <c r="D271" s="13"/>
      <c r="E271" s="15" t="str">
        <f aca="false">IF(A271="","",OR(D271=Settings!$B$3,AND(Settings!$B$4&lt;&gt;"",D271=Settings!$B$4)))</f>
        <v/>
      </c>
      <c r="F271" s="13"/>
      <c r="G271" s="13"/>
      <c r="H271" s="13"/>
      <c r="I271" s="13"/>
      <c r="J271" s="13"/>
      <c r="K271" s="18"/>
      <c r="L271" s="13"/>
      <c r="M271" s="15" t="str">
        <f aca="false">IF(A271="","",COUNTIFS(Quotes!$B$2:$B$301,A271,Quotes!$G$2:$G$301,"Y"))</f>
        <v/>
      </c>
      <c r="N271" s="17" t="str">
        <f aca="false">IF(A271="","",IF(M271=0,"",_xlfn.MINIFS(Quotes!$F$2:$F$301,Quotes!$B$2:$B$301,A271,Quotes!$G$2:$G$301,"Y")))</f>
        <v/>
      </c>
      <c r="O271" s="15" t="str">
        <f aca="false">IF(A271="","",AND(E271,G271="Y"))</f>
        <v/>
      </c>
      <c r="P271" s="17" t="str">
        <f aca="false">IF(A271="","",IF(AND(O271,N271&lt;&gt;""),N271,""))</f>
        <v/>
      </c>
      <c r="Q271" s="15" t="str">
        <f aca="false">IF(A271="","",COUNTIF(Picks!$A$2:$A$301,A271)&gt;0)</f>
        <v/>
      </c>
      <c r="R271" s="13"/>
      <c r="S271" s="13"/>
      <c r="T271" s="15" t="str">
        <f aca="false">IF(A271="","",COUNTIF(Nudges!$C$2:$C$301,A271)&gt;0)</f>
        <v/>
      </c>
      <c r="U271" s="8"/>
      <c r="V271" s="8"/>
    </row>
    <row r="272" customFormat="false" ht="15" hidden="false" customHeight="false" outlineLevel="0" collapsed="false">
      <c r="A272" s="13"/>
      <c r="B272" s="18"/>
      <c r="C272" s="15" t="str">
        <f aca="false">IF(B272="","",INT((B272-Settings!$B$2)/7)+1)</f>
        <v/>
      </c>
      <c r="D272" s="13"/>
      <c r="E272" s="15" t="str">
        <f aca="false">IF(A272="","",OR(D272=Settings!$B$3,AND(Settings!$B$4&lt;&gt;"",D272=Settings!$B$4)))</f>
        <v/>
      </c>
      <c r="F272" s="13"/>
      <c r="G272" s="13"/>
      <c r="H272" s="13"/>
      <c r="I272" s="13"/>
      <c r="J272" s="13"/>
      <c r="K272" s="18"/>
      <c r="L272" s="13"/>
      <c r="M272" s="15" t="str">
        <f aca="false">IF(A272="","",COUNTIFS(Quotes!$B$2:$B$301,A272,Quotes!$G$2:$G$301,"Y"))</f>
        <v/>
      </c>
      <c r="N272" s="17" t="str">
        <f aca="false">IF(A272="","",IF(M272=0,"",_xlfn.MINIFS(Quotes!$F$2:$F$301,Quotes!$B$2:$B$301,A272,Quotes!$G$2:$G$301,"Y")))</f>
        <v/>
      </c>
      <c r="O272" s="15" t="str">
        <f aca="false">IF(A272="","",AND(E272,G272="Y"))</f>
        <v/>
      </c>
      <c r="P272" s="17" t="str">
        <f aca="false">IF(A272="","",IF(AND(O272,N272&lt;&gt;""),N272,""))</f>
        <v/>
      </c>
      <c r="Q272" s="15" t="str">
        <f aca="false">IF(A272="","",COUNTIF(Picks!$A$2:$A$301,A272)&gt;0)</f>
        <v/>
      </c>
      <c r="R272" s="13"/>
      <c r="S272" s="13"/>
      <c r="T272" s="15" t="str">
        <f aca="false">IF(A272="","",COUNTIF(Nudges!$C$2:$C$301,A272)&gt;0)</f>
        <v/>
      </c>
      <c r="U272" s="8"/>
      <c r="V272" s="8"/>
    </row>
    <row r="273" customFormat="false" ht="15" hidden="false" customHeight="false" outlineLevel="0" collapsed="false">
      <c r="A273" s="13"/>
      <c r="B273" s="18"/>
      <c r="C273" s="15" t="str">
        <f aca="false">IF(B273="","",INT((B273-Settings!$B$2)/7)+1)</f>
        <v/>
      </c>
      <c r="D273" s="13"/>
      <c r="E273" s="15" t="str">
        <f aca="false">IF(A273="","",OR(D273=Settings!$B$3,AND(Settings!$B$4&lt;&gt;"",D273=Settings!$B$4)))</f>
        <v/>
      </c>
      <c r="F273" s="13"/>
      <c r="G273" s="13"/>
      <c r="H273" s="13"/>
      <c r="I273" s="13"/>
      <c r="J273" s="13"/>
      <c r="K273" s="18"/>
      <c r="L273" s="13"/>
      <c r="M273" s="15" t="str">
        <f aca="false">IF(A273="","",COUNTIFS(Quotes!$B$2:$B$301,A273,Quotes!$G$2:$G$301,"Y"))</f>
        <v/>
      </c>
      <c r="N273" s="17" t="str">
        <f aca="false">IF(A273="","",IF(M273=0,"",_xlfn.MINIFS(Quotes!$F$2:$F$301,Quotes!$B$2:$B$301,A273,Quotes!$G$2:$G$301,"Y")))</f>
        <v/>
      </c>
      <c r="O273" s="15" t="str">
        <f aca="false">IF(A273="","",AND(E273,G273="Y"))</f>
        <v/>
      </c>
      <c r="P273" s="17" t="str">
        <f aca="false">IF(A273="","",IF(AND(O273,N273&lt;&gt;""),N273,""))</f>
        <v/>
      </c>
      <c r="Q273" s="15" t="str">
        <f aca="false">IF(A273="","",COUNTIF(Picks!$A$2:$A$301,A273)&gt;0)</f>
        <v/>
      </c>
      <c r="R273" s="13"/>
      <c r="S273" s="13"/>
      <c r="T273" s="15" t="str">
        <f aca="false">IF(A273="","",COUNTIF(Nudges!$C$2:$C$301,A273)&gt;0)</f>
        <v/>
      </c>
      <c r="U273" s="8"/>
      <c r="V273" s="8"/>
    </row>
    <row r="274" customFormat="false" ht="15" hidden="false" customHeight="false" outlineLevel="0" collapsed="false">
      <c r="A274" s="13"/>
      <c r="B274" s="18"/>
      <c r="C274" s="15" t="str">
        <f aca="false">IF(B274="","",INT((B274-Settings!$B$2)/7)+1)</f>
        <v/>
      </c>
      <c r="D274" s="13"/>
      <c r="E274" s="15" t="str">
        <f aca="false">IF(A274="","",OR(D274=Settings!$B$3,AND(Settings!$B$4&lt;&gt;"",D274=Settings!$B$4)))</f>
        <v/>
      </c>
      <c r="F274" s="13"/>
      <c r="G274" s="13"/>
      <c r="H274" s="13"/>
      <c r="I274" s="13"/>
      <c r="J274" s="13"/>
      <c r="K274" s="18"/>
      <c r="L274" s="13"/>
      <c r="M274" s="15" t="str">
        <f aca="false">IF(A274="","",COUNTIFS(Quotes!$B$2:$B$301,A274,Quotes!$G$2:$G$301,"Y"))</f>
        <v/>
      </c>
      <c r="N274" s="17" t="str">
        <f aca="false">IF(A274="","",IF(M274=0,"",_xlfn.MINIFS(Quotes!$F$2:$F$301,Quotes!$B$2:$B$301,A274,Quotes!$G$2:$G$301,"Y")))</f>
        <v/>
      </c>
      <c r="O274" s="15" t="str">
        <f aca="false">IF(A274="","",AND(E274,G274="Y"))</f>
        <v/>
      </c>
      <c r="P274" s="17" t="str">
        <f aca="false">IF(A274="","",IF(AND(O274,N274&lt;&gt;""),N274,""))</f>
        <v/>
      </c>
      <c r="Q274" s="15" t="str">
        <f aca="false">IF(A274="","",COUNTIF(Picks!$A$2:$A$301,A274)&gt;0)</f>
        <v/>
      </c>
      <c r="R274" s="13"/>
      <c r="S274" s="13"/>
      <c r="T274" s="15" t="str">
        <f aca="false">IF(A274="","",COUNTIF(Nudges!$C$2:$C$301,A274)&gt;0)</f>
        <v/>
      </c>
      <c r="U274" s="8"/>
      <c r="V274" s="8"/>
    </row>
    <row r="275" customFormat="false" ht="15" hidden="false" customHeight="false" outlineLevel="0" collapsed="false">
      <c r="A275" s="13"/>
      <c r="B275" s="18"/>
      <c r="C275" s="15" t="str">
        <f aca="false">IF(B275="","",INT((B275-Settings!$B$2)/7)+1)</f>
        <v/>
      </c>
      <c r="D275" s="13"/>
      <c r="E275" s="15" t="str">
        <f aca="false">IF(A275="","",OR(D275=Settings!$B$3,AND(Settings!$B$4&lt;&gt;"",D275=Settings!$B$4)))</f>
        <v/>
      </c>
      <c r="F275" s="13"/>
      <c r="G275" s="13"/>
      <c r="H275" s="13"/>
      <c r="I275" s="13"/>
      <c r="J275" s="13"/>
      <c r="K275" s="18"/>
      <c r="L275" s="13"/>
      <c r="M275" s="15" t="str">
        <f aca="false">IF(A275="","",COUNTIFS(Quotes!$B$2:$B$301,A275,Quotes!$G$2:$G$301,"Y"))</f>
        <v/>
      </c>
      <c r="N275" s="17" t="str">
        <f aca="false">IF(A275="","",IF(M275=0,"",_xlfn.MINIFS(Quotes!$F$2:$F$301,Quotes!$B$2:$B$301,A275,Quotes!$G$2:$G$301,"Y")))</f>
        <v/>
      </c>
      <c r="O275" s="15" t="str">
        <f aca="false">IF(A275="","",AND(E275,G275="Y"))</f>
        <v/>
      </c>
      <c r="P275" s="17" t="str">
        <f aca="false">IF(A275="","",IF(AND(O275,N275&lt;&gt;""),N275,""))</f>
        <v/>
      </c>
      <c r="Q275" s="15" t="str">
        <f aca="false">IF(A275="","",COUNTIF(Picks!$A$2:$A$301,A275)&gt;0)</f>
        <v/>
      </c>
      <c r="R275" s="13"/>
      <c r="S275" s="13"/>
      <c r="T275" s="15" t="str">
        <f aca="false">IF(A275="","",COUNTIF(Nudges!$C$2:$C$301,A275)&gt;0)</f>
        <v/>
      </c>
      <c r="U275" s="8"/>
      <c r="V275" s="8"/>
    </row>
    <row r="276" customFormat="false" ht="15" hidden="false" customHeight="false" outlineLevel="0" collapsed="false">
      <c r="A276" s="13"/>
      <c r="B276" s="18"/>
      <c r="C276" s="15" t="str">
        <f aca="false">IF(B276="","",INT((B276-Settings!$B$2)/7)+1)</f>
        <v/>
      </c>
      <c r="D276" s="13"/>
      <c r="E276" s="15" t="str">
        <f aca="false">IF(A276="","",OR(D276=Settings!$B$3,AND(Settings!$B$4&lt;&gt;"",D276=Settings!$B$4)))</f>
        <v/>
      </c>
      <c r="F276" s="13"/>
      <c r="G276" s="13"/>
      <c r="H276" s="13"/>
      <c r="I276" s="13"/>
      <c r="J276" s="13"/>
      <c r="K276" s="18"/>
      <c r="L276" s="13"/>
      <c r="M276" s="15" t="str">
        <f aca="false">IF(A276="","",COUNTIFS(Quotes!$B$2:$B$301,A276,Quotes!$G$2:$G$301,"Y"))</f>
        <v/>
      </c>
      <c r="N276" s="17" t="str">
        <f aca="false">IF(A276="","",IF(M276=0,"",_xlfn.MINIFS(Quotes!$F$2:$F$301,Quotes!$B$2:$B$301,A276,Quotes!$G$2:$G$301,"Y")))</f>
        <v/>
      </c>
      <c r="O276" s="15" t="str">
        <f aca="false">IF(A276="","",AND(E276,G276="Y"))</f>
        <v/>
      </c>
      <c r="P276" s="17" t="str">
        <f aca="false">IF(A276="","",IF(AND(O276,N276&lt;&gt;""),N276,""))</f>
        <v/>
      </c>
      <c r="Q276" s="15" t="str">
        <f aca="false">IF(A276="","",COUNTIF(Picks!$A$2:$A$301,A276)&gt;0)</f>
        <v/>
      </c>
      <c r="R276" s="13"/>
      <c r="S276" s="13"/>
      <c r="T276" s="15" t="str">
        <f aca="false">IF(A276="","",COUNTIF(Nudges!$C$2:$C$301,A276)&gt;0)</f>
        <v/>
      </c>
      <c r="U276" s="8"/>
      <c r="V276" s="8"/>
    </row>
    <row r="277" customFormat="false" ht="15" hidden="false" customHeight="false" outlineLevel="0" collapsed="false">
      <c r="A277" s="13"/>
      <c r="B277" s="18"/>
      <c r="C277" s="15" t="str">
        <f aca="false">IF(B277="","",INT((B277-Settings!$B$2)/7)+1)</f>
        <v/>
      </c>
      <c r="D277" s="13"/>
      <c r="E277" s="15" t="str">
        <f aca="false">IF(A277="","",OR(D277=Settings!$B$3,AND(Settings!$B$4&lt;&gt;"",D277=Settings!$B$4)))</f>
        <v/>
      </c>
      <c r="F277" s="13"/>
      <c r="G277" s="13"/>
      <c r="H277" s="13"/>
      <c r="I277" s="13"/>
      <c r="J277" s="13"/>
      <c r="K277" s="18"/>
      <c r="L277" s="13"/>
      <c r="M277" s="15" t="str">
        <f aca="false">IF(A277="","",COUNTIFS(Quotes!$B$2:$B$301,A277,Quotes!$G$2:$G$301,"Y"))</f>
        <v/>
      </c>
      <c r="N277" s="17" t="str">
        <f aca="false">IF(A277="","",IF(M277=0,"",_xlfn.MINIFS(Quotes!$F$2:$F$301,Quotes!$B$2:$B$301,A277,Quotes!$G$2:$G$301,"Y")))</f>
        <v/>
      </c>
      <c r="O277" s="15" t="str">
        <f aca="false">IF(A277="","",AND(E277,G277="Y"))</f>
        <v/>
      </c>
      <c r="P277" s="17" t="str">
        <f aca="false">IF(A277="","",IF(AND(O277,N277&lt;&gt;""),N277,""))</f>
        <v/>
      </c>
      <c r="Q277" s="15" t="str">
        <f aca="false">IF(A277="","",COUNTIF(Picks!$A$2:$A$301,A277)&gt;0)</f>
        <v/>
      </c>
      <c r="R277" s="13"/>
      <c r="S277" s="13"/>
      <c r="T277" s="15" t="str">
        <f aca="false">IF(A277="","",COUNTIF(Nudges!$C$2:$C$301,A277)&gt;0)</f>
        <v/>
      </c>
      <c r="U277" s="8"/>
      <c r="V277" s="8"/>
    </row>
    <row r="278" customFormat="false" ht="15" hidden="false" customHeight="false" outlineLevel="0" collapsed="false">
      <c r="A278" s="13"/>
      <c r="B278" s="18"/>
      <c r="C278" s="15" t="str">
        <f aca="false">IF(B278="","",INT((B278-Settings!$B$2)/7)+1)</f>
        <v/>
      </c>
      <c r="D278" s="13"/>
      <c r="E278" s="15" t="str">
        <f aca="false">IF(A278="","",OR(D278=Settings!$B$3,AND(Settings!$B$4&lt;&gt;"",D278=Settings!$B$4)))</f>
        <v/>
      </c>
      <c r="F278" s="13"/>
      <c r="G278" s="13"/>
      <c r="H278" s="13"/>
      <c r="I278" s="13"/>
      <c r="J278" s="13"/>
      <c r="K278" s="18"/>
      <c r="L278" s="13"/>
      <c r="M278" s="15" t="str">
        <f aca="false">IF(A278="","",COUNTIFS(Quotes!$B$2:$B$301,A278,Quotes!$G$2:$G$301,"Y"))</f>
        <v/>
      </c>
      <c r="N278" s="17" t="str">
        <f aca="false">IF(A278="","",IF(M278=0,"",_xlfn.MINIFS(Quotes!$F$2:$F$301,Quotes!$B$2:$B$301,A278,Quotes!$G$2:$G$301,"Y")))</f>
        <v/>
      </c>
      <c r="O278" s="15" t="str">
        <f aca="false">IF(A278="","",AND(E278,G278="Y"))</f>
        <v/>
      </c>
      <c r="P278" s="17" t="str">
        <f aca="false">IF(A278="","",IF(AND(O278,N278&lt;&gt;""),N278,""))</f>
        <v/>
      </c>
      <c r="Q278" s="15" t="str">
        <f aca="false">IF(A278="","",COUNTIF(Picks!$A$2:$A$301,A278)&gt;0)</f>
        <v/>
      </c>
      <c r="R278" s="13"/>
      <c r="S278" s="13"/>
      <c r="T278" s="15" t="str">
        <f aca="false">IF(A278="","",COUNTIF(Nudges!$C$2:$C$301,A278)&gt;0)</f>
        <v/>
      </c>
      <c r="U278" s="8"/>
      <c r="V278" s="8"/>
    </row>
    <row r="279" customFormat="false" ht="15" hidden="false" customHeight="false" outlineLevel="0" collapsed="false">
      <c r="A279" s="13"/>
      <c r="B279" s="18"/>
      <c r="C279" s="15" t="str">
        <f aca="false">IF(B279="","",INT((B279-Settings!$B$2)/7)+1)</f>
        <v/>
      </c>
      <c r="D279" s="13"/>
      <c r="E279" s="15" t="str">
        <f aca="false">IF(A279="","",OR(D279=Settings!$B$3,AND(Settings!$B$4&lt;&gt;"",D279=Settings!$B$4)))</f>
        <v/>
      </c>
      <c r="F279" s="13"/>
      <c r="G279" s="13"/>
      <c r="H279" s="13"/>
      <c r="I279" s="13"/>
      <c r="J279" s="13"/>
      <c r="K279" s="18"/>
      <c r="L279" s="13"/>
      <c r="M279" s="15" t="str">
        <f aca="false">IF(A279="","",COUNTIFS(Quotes!$B$2:$B$301,A279,Quotes!$G$2:$G$301,"Y"))</f>
        <v/>
      </c>
      <c r="N279" s="17" t="str">
        <f aca="false">IF(A279="","",IF(M279=0,"",_xlfn.MINIFS(Quotes!$F$2:$F$301,Quotes!$B$2:$B$301,A279,Quotes!$G$2:$G$301,"Y")))</f>
        <v/>
      </c>
      <c r="O279" s="15" t="str">
        <f aca="false">IF(A279="","",AND(E279,G279="Y"))</f>
        <v/>
      </c>
      <c r="P279" s="17" t="str">
        <f aca="false">IF(A279="","",IF(AND(O279,N279&lt;&gt;""),N279,""))</f>
        <v/>
      </c>
      <c r="Q279" s="15" t="str">
        <f aca="false">IF(A279="","",COUNTIF(Picks!$A$2:$A$301,A279)&gt;0)</f>
        <v/>
      </c>
      <c r="R279" s="13"/>
      <c r="S279" s="13"/>
      <c r="T279" s="15" t="str">
        <f aca="false">IF(A279="","",COUNTIF(Nudges!$C$2:$C$301,A279)&gt;0)</f>
        <v/>
      </c>
      <c r="U279" s="8"/>
      <c r="V279" s="8"/>
    </row>
    <row r="280" customFormat="false" ht="15" hidden="false" customHeight="false" outlineLevel="0" collapsed="false">
      <c r="A280" s="13"/>
      <c r="B280" s="18"/>
      <c r="C280" s="15" t="str">
        <f aca="false">IF(B280="","",INT((B280-Settings!$B$2)/7)+1)</f>
        <v/>
      </c>
      <c r="D280" s="13"/>
      <c r="E280" s="15" t="str">
        <f aca="false">IF(A280="","",OR(D280=Settings!$B$3,AND(Settings!$B$4&lt;&gt;"",D280=Settings!$B$4)))</f>
        <v/>
      </c>
      <c r="F280" s="13"/>
      <c r="G280" s="13"/>
      <c r="H280" s="13"/>
      <c r="I280" s="13"/>
      <c r="J280" s="13"/>
      <c r="K280" s="18"/>
      <c r="L280" s="13"/>
      <c r="M280" s="15" t="str">
        <f aca="false">IF(A280="","",COUNTIFS(Quotes!$B$2:$B$301,A280,Quotes!$G$2:$G$301,"Y"))</f>
        <v/>
      </c>
      <c r="N280" s="17" t="str">
        <f aca="false">IF(A280="","",IF(M280=0,"",_xlfn.MINIFS(Quotes!$F$2:$F$301,Quotes!$B$2:$B$301,A280,Quotes!$G$2:$G$301,"Y")))</f>
        <v/>
      </c>
      <c r="O280" s="15" t="str">
        <f aca="false">IF(A280="","",AND(E280,G280="Y"))</f>
        <v/>
      </c>
      <c r="P280" s="17" t="str">
        <f aca="false">IF(A280="","",IF(AND(O280,N280&lt;&gt;""),N280,""))</f>
        <v/>
      </c>
      <c r="Q280" s="15" t="str">
        <f aca="false">IF(A280="","",COUNTIF(Picks!$A$2:$A$301,A280)&gt;0)</f>
        <v/>
      </c>
      <c r="R280" s="13"/>
      <c r="S280" s="13"/>
      <c r="T280" s="15" t="str">
        <f aca="false">IF(A280="","",COUNTIF(Nudges!$C$2:$C$301,A280)&gt;0)</f>
        <v/>
      </c>
      <c r="U280" s="8"/>
      <c r="V280" s="8"/>
    </row>
    <row r="281" customFormat="false" ht="15" hidden="false" customHeight="false" outlineLevel="0" collapsed="false">
      <c r="A281" s="13"/>
      <c r="B281" s="18"/>
      <c r="C281" s="15" t="str">
        <f aca="false">IF(B281="","",INT((B281-Settings!$B$2)/7)+1)</f>
        <v/>
      </c>
      <c r="D281" s="13"/>
      <c r="E281" s="15" t="str">
        <f aca="false">IF(A281="","",OR(D281=Settings!$B$3,AND(Settings!$B$4&lt;&gt;"",D281=Settings!$B$4)))</f>
        <v/>
      </c>
      <c r="F281" s="13"/>
      <c r="G281" s="13"/>
      <c r="H281" s="13"/>
      <c r="I281" s="13"/>
      <c r="J281" s="13"/>
      <c r="K281" s="18"/>
      <c r="L281" s="13"/>
      <c r="M281" s="15" t="str">
        <f aca="false">IF(A281="","",COUNTIFS(Quotes!$B$2:$B$301,A281,Quotes!$G$2:$G$301,"Y"))</f>
        <v/>
      </c>
      <c r="N281" s="17" t="str">
        <f aca="false">IF(A281="","",IF(M281=0,"",_xlfn.MINIFS(Quotes!$F$2:$F$301,Quotes!$B$2:$B$301,A281,Quotes!$G$2:$G$301,"Y")))</f>
        <v/>
      </c>
      <c r="O281" s="15" t="str">
        <f aca="false">IF(A281="","",AND(E281,G281="Y"))</f>
        <v/>
      </c>
      <c r="P281" s="17" t="str">
        <f aca="false">IF(A281="","",IF(AND(O281,N281&lt;&gt;""),N281,""))</f>
        <v/>
      </c>
      <c r="Q281" s="15" t="str">
        <f aca="false">IF(A281="","",COUNTIF(Picks!$A$2:$A$301,A281)&gt;0)</f>
        <v/>
      </c>
      <c r="R281" s="13"/>
      <c r="S281" s="13"/>
      <c r="T281" s="15" t="str">
        <f aca="false">IF(A281="","",COUNTIF(Nudges!$C$2:$C$301,A281)&gt;0)</f>
        <v/>
      </c>
      <c r="U281" s="8"/>
      <c r="V281" s="8"/>
    </row>
    <row r="282" customFormat="false" ht="15" hidden="false" customHeight="false" outlineLevel="0" collapsed="false">
      <c r="A282" s="13"/>
      <c r="B282" s="18"/>
      <c r="C282" s="15" t="str">
        <f aca="false">IF(B282="","",INT((B282-Settings!$B$2)/7)+1)</f>
        <v/>
      </c>
      <c r="D282" s="13"/>
      <c r="E282" s="15" t="str">
        <f aca="false">IF(A282="","",OR(D282=Settings!$B$3,AND(Settings!$B$4&lt;&gt;"",D282=Settings!$B$4)))</f>
        <v/>
      </c>
      <c r="F282" s="13"/>
      <c r="G282" s="13"/>
      <c r="H282" s="13"/>
      <c r="I282" s="13"/>
      <c r="J282" s="13"/>
      <c r="K282" s="18"/>
      <c r="L282" s="13"/>
      <c r="M282" s="15" t="str">
        <f aca="false">IF(A282="","",COUNTIFS(Quotes!$B$2:$B$301,A282,Quotes!$G$2:$G$301,"Y"))</f>
        <v/>
      </c>
      <c r="N282" s="17" t="str">
        <f aca="false">IF(A282="","",IF(M282=0,"",_xlfn.MINIFS(Quotes!$F$2:$F$301,Quotes!$B$2:$B$301,A282,Quotes!$G$2:$G$301,"Y")))</f>
        <v/>
      </c>
      <c r="O282" s="15" t="str">
        <f aca="false">IF(A282="","",AND(E282,G282="Y"))</f>
        <v/>
      </c>
      <c r="P282" s="17" t="str">
        <f aca="false">IF(A282="","",IF(AND(O282,N282&lt;&gt;""),N282,""))</f>
        <v/>
      </c>
      <c r="Q282" s="15" t="str">
        <f aca="false">IF(A282="","",COUNTIF(Picks!$A$2:$A$301,A282)&gt;0)</f>
        <v/>
      </c>
      <c r="R282" s="13"/>
      <c r="S282" s="13"/>
      <c r="T282" s="15" t="str">
        <f aca="false">IF(A282="","",COUNTIF(Nudges!$C$2:$C$301,A282)&gt;0)</f>
        <v/>
      </c>
      <c r="U282" s="8"/>
      <c r="V282" s="8"/>
    </row>
    <row r="283" customFormat="false" ht="15" hidden="false" customHeight="false" outlineLevel="0" collapsed="false">
      <c r="A283" s="13"/>
      <c r="B283" s="18"/>
      <c r="C283" s="15" t="str">
        <f aca="false">IF(B283="","",INT((B283-Settings!$B$2)/7)+1)</f>
        <v/>
      </c>
      <c r="D283" s="13"/>
      <c r="E283" s="15" t="str">
        <f aca="false">IF(A283="","",OR(D283=Settings!$B$3,AND(Settings!$B$4&lt;&gt;"",D283=Settings!$B$4)))</f>
        <v/>
      </c>
      <c r="F283" s="13"/>
      <c r="G283" s="13"/>
      <c r="H283" s="13"/>
      <c r="I283" s="13"/>
      <c r="J283" s="13"/>
      <c r="K283" s="18"/>
      <c r="L283" s="13"/>
      <c r="M283" s="15" t="str">
        <f aca="false">IF(A283="","",COUNTIFS(Quotes!$B$2:$B$301,A283,Quotes!$G$2:$G$301,"Y"))</f>
        <v/>
      </c>
      <c r="N283" s="17" t="str">
        <f aca="false">IF(A283="","",IF(M283=0,"",_xlfn.MINIFS(Quotes!$F$2:$F$301,Quotes!$B$2:$B$301,A283,Quotes!$G$2:$G$301,"Y")))</f>
        <v/>
      </c>
      <c r="O283" s="15" t="str">
        <f aca="false">IF(A283="","",AND(E283,G283="Y"))</f>
        <v/>
      </c>
      <c r="P283" s="17" t="str">
        <f aca="false">IF(A283="","",IF(AND(O283,N283&lt;&gt;""),N283,""))</f>
        <v/>
      </c>
      <c r="Q283" s="15" t="str">
        <f aca="false">IF(A283="","",COUNTIF(Picks!$A$2:$A$301,A283)&gt;0)</f>
        <v/>
      </c>
      <c r="R283" s="13"/>
      <c r="S283" s="13"/>
      <c r="T283" s="15" t="str">
        <f aca="false">IF(A283="","",COUNTIF(Nudges!$C$2:$C$301,A283)&gt;0)</f>
        <v/>
      </c>
      <c r="U283" s="8"/>
      <c r="V283" s="8"/>
    </row>
    <row r="284" customFormat="false" ht="15" hidden="false" customHeight="false" outlineLevel="0" collapsed="false">
      <c r="A284" s="13"/>
      <c r="B284" s="18"/>
      <c r="C284" s="15" t="str">
        <f aca="false">IF(B284="","",INT((B284-Settings!$B$2)/7)+1)</f>
        <v/>
      </c>
      <c r="D284" s="13"/>
      <c r="E284" s="15" t="str">
        <f aca="false">IF(A284="","",OR(D284=Settings!$B$3,AND(Settings!$B$4&lt;&gt;"",D284=Settings!$B$4)))</f>
        <v/>
      </c>
      <c r="F284" s="13"/>
      <c r="G284" s="13"/>
      <c r="H284" s="13"/>
      <c r="I284" s="13"/>
      <c r="J284" s="13"/>
      <c r="K284" s="18"/>
      <c r="L284" s="13"/>
      <c r="M284" s="15" t="str">
        <f aca="false">IF(A284="","",COUNTIFS(Quotes!$B$2:$B$301,A284,Quotes!$G$2:$G$301,"Y"))</f>
        <v/>
      </c>
      <c r="N284" s="17" t="str">
        <f aca="false">IF(A284="","",IF(M284=0,"",_xlfn.MINIFS(Quotes!$F$2:$F$301,Quotes!$B$2:$B$301,A284,Quotes!$G$2:$G$301,"Y")))</f>
        <v/>
      </c>
      <c r="O284" s="15" t="str">
        <f aca="false">IF(A284="","",AND(E284,G284="Y"))</f>
        <v/>
      </c>
      <c r="P284" s="17" t="str">
        <f aca="false">IF(A284="","",IF(AND(O284,N284&lt;&gt;""),N284,""))</f>
        <v/>
      </c>
      <c r="Q284" s="15" t="str">
        <f aca="false">IF(A284="","",COUNTIF(Picks!$A$2:$A$301,A284)&gt;0)</f>
        <v/>
      </c>
      <c r="R284" s="13"/>
      <c r="S284" s="13"/>
      <c r="T284" s="15" t="str">
        <f aca="false">IF(A284="","",COUNTIF(Nudges!$C$2:$C$301,A284)&gt;0)</f>
        <v/>
      </c>
      <c r="U284" s="8"/>
      <c r="V284" s="8"/>
    </row>
    <row r="285" customFormat="false" ht="15" hidden="false" customHeight="false" outlineLevel="0" collapsed="false">
      <c r="A285" s="13"/>
      <c r="B285" s="18"/>
      <c r="C285" s="15" t="str">
        <f aca="false">IF(B285="","",INT((B285-Settings!$B$2)/7)+1)</f>
        <v/>
      </c>
      <c r="D285" s="13"/>
      <c r="E285" s="15" t="str">
        <f aca="false">IF(A285="","",OR(D285=Settings!$B$3,AND(Settings!$B$4&lt;&gt;"",D285=Settings!$B$4)))</f>
        <v/>
      </c>
      <c r="F285" s="13"/>
      <c r="G285" s="13"/>
      <c r="H285" s="13"/>
      <c r="I285" s="13"/>
      <c r="J285" s="13"/>
      <c r="K285" s="18"/>
      <c r="L285" s="13"/>
      <c r="M285" s="15" t="str">
        <f aca="false">IF(A285="","",COUNTIFS(Quotes!$B$2:$B$301,A285,Quotes!$G$2:$G$301,"Y"))</f>
        <v/>
      </c>
      <c r="N285" s="17" t="str">
        <f aca="false">IF(A285="","",IF(M285=0,"",_xlfn.MINIFS(Quotes!$F$2:$F$301,Quotes!$B$2:$B$301,A285,Quotes!$G$2:$G$301,"Y")))</f>
        <v/>
      </c>
      <c r="O285" s="15" t="str">
        <f aca="false">IF(A285="","",AND(E285,G285="Y"))</f>
        <v/>
      </c>
      <c r="P285" s="17" t="str">
        <f aca="false">IF(A285="","",IF(AND(O285,N285&lt;&gt;""),N285,""))</f>
        <v/>
      </c>
      <c r="Q285" s="15" t="str">
        <f aca="false">IF(A285="","",COUNTIF(Picks!$A$2:$A$301,A285)&gt;0)</f>
        <v/>
      </c>
      <c r="R285" s="13"/>
      <c r="S285" s="13"/>
      <c r="T285" s="15" t="str">
        <f aca="false">IF(A285="","",COUNTIF(Nudges!$C$2:$C$301,A285)&gt;0)</f>
        <v/>
      </c>
      <c r="U285" s="8"/>
      <c r="V285" s="8"/>
    </row>
    <row r="286" customFormat="false" ht="15" hidden="false" customHeight="false" outlineLevel="0" collapsed="false">
      <c r="A286" s="13"/>
      <c r="B286" s="18"/>
      <c r="C286" s="15" t="str">
        <f aca="false">IF(B286="","",INT((B286-Settings!$B$2)/7)+1)</f>
        <v/>
      </c>
      <c r="D286" s="13"/>
      <c r="E286" s="15" t="str">
        <f aca="false">IF(A286="","",OR(D286=Settings!$B$3,AND(Settings!$B$4&lt;&gt;"",D286=Settings!$B$4)))</f>
        <v/>
      </c>
      <c r="F286" s="13"/>
      <c r="G286" s="13"/>
      <c r="H286" s="13"/>
      <c r="I286" s="13"/>
      <c r="J286" s="13"/>
      <c r="K286" s="18"/>
      <c r="L286" s="13"/>
      <c r="M286" s="15" t="str">
        <f aca="false">IF(A286="","",COUNTIFS(Quotes!$B$2:$B$301,A286,Quotes!$G$2:$G$301,"Y"))</f>
        <v/>
      </c>
      <c r="N286" s="17" t="str">
        <f aca="false">IF(A286="","",IF(M286=0,"",_xlfn.MINIFS(Quotes!$F$2:$F$301,Quotes!$B$2:$B$301,A286,Quotes!$G$2:$G$301,"Y")))</f>
        <v/>
      </c>
      <c r="O286" s="15" t="str">
        <f aca="false">IF(A286="","",AND(E286,G286="Y"))</f>
        <v/>
      </c>
      <c r="P286" s="17" t="str">
        <f aca="false">IF(A286="","",IF(AND(O286,N286&lt;&gt;""),N286,""))</f>
        <v/>
      </c>
      <c r="Q286" s="15" t="str">
        <f aca="false">IF(A286="","",COUNTIF(Picks!$A$2:$A$301,A286)&gt;0)</f>
        <v/>
      </c>
      <c r="R286" s="13"/>
      <c r="S286" s="13"/>
      <c r="T286" s="15" t="str">
        <f aca="false">IF(A286="","",COUNTIF(Nudges!$C$2:$C$301,A286)&gt;0)</f>
        <v/>
      </c>
      <c r="U286" s="8"/>
      <c r="V286" s="8"/>
    </row>
    <row r="287" customFormat="false" ht="15" hidden="false" customHeight="false" outlineLevel="0" collapsed="false">
      <c r="A287" s="13"/>
      <c r="B287" s="18"/>
      <c r="C287" s="15" t="str">
        <f aca="false">IF(B287="","",INT((B287-Settings!$B$2)/7)+1)</f>
        <v/>
      </c>
      <c r="D287" s="13"/>
      <c r="E287" s="15" t="str">
        <f aca="false">IF(A287="","",OR(D287=Settings!$B$3,AND(Settings!$B$4&lt;&gt;"",D287=Settings!$B$4)))</f>
        <v/>
      </c>
      <c r="F287" s="13"/>
      <c r="G287" s="13"/>
      <c r="H287" s="13"/>
      <c r="I287" s="13"/>
      <c r="J287" s="13"/>
      <c r="K287" s="18"/>
      <c r="L287" s="13"/>
      <c r="M287" s="15" t="str">
        <f aca="false">IF(A287="","",COUNTIFS(Quotes!$B$2:$B$301,A287,Quotes!$G$2:$G$301,"Y"))</f>
        <v/>
      </c>
      <c r="N287" s="17" t="str">
        <f aca="false">IF(A287="","",IF(M287=0,"",_xlfn.MINIFS(Quotes!$F$2:$F$301,Quotes!$B$2:$B$301,A287,Quotes!$G$2:$G$301,"Y")))</f>
        <v/>
      </c>
      <c r="O287" s="15" t="str">
        <f aca="false">IF(A287="","",AND(E287,G287="Y"))</f>
        <v/>
      </c>
      <c r="P287" s="17" t="str">
        <f aca="false">IF(A287="","",IF(AND(O287,N287&lt;&gt;""),N287,""))</f>
        <v/>
      </c>
      <c r="Q287" s="15" t="str">
        <f aca="false">IF(A287="","",COUNTIF(Picks!$A$2:$A$301,A287)&gt;0)</f>
        <v/>
      </c>
      <c r="R287" s="13"/>
      <c r="S287" s="13"/>
      <c r="T287" s="15" t="str">
        <f aca="false">IF(A287="","",COUNTIF(Nudges!$C$2:$C$301,A287)&gt;0)</f>
        <v/>
      </c>
      <c r="U287" s="8"/>
      <c r="V287" s="8"/>
    </row>
    <row r="288" customFormat="false" ht="15" hidden="false" customHeight="false" outlineLevel="0" collapsed="false">
      <c r="A288" s="13"/>
      <c r="B288" s="18"/>
      <c r="C288" s="15" t="str">
        <f aca="false">IF(B288="","",INT((B288-Settings!$B$2)/7)+1)</f>
        <v/>
      </c>
      <c r="D288" s="13"/>
      <c r="E288" s="15" t="str">
        <f aca="false">IF(A288="","",OR(D288=Settings!$B$3,AND(Settings!$B$4&lt;&gt;"",D288=Settings!$B$4)))</f>
        <v/>
      </c>
      <c r="F288" s="13"/>
      <c r="G288" s="13"/>
      <c r="H288" s="13"/>
      <c r="I288" s="13"/>
      <c r="J288" s="13"/>
      <c r="K288" s="18"/>
      <c r="L288" s="13"/>
      <c r="M288" s="15" t="str">
        <f aca="false">IF(A288="","",COUNTIFS(Quotes!$B$2:$B$301,A288,Quotes!$G$2:$G$301,"Y"))</f>
        <v/>
      </c>
      <c r="N288" s="17" t="str">
        <f aca="false">IF(A288="","",IF(M288=0,"",_xlfn.MINIFS(Quotes!$F$2:$F$301,Quotes!$B$2:$B$301,A288,Quotes!$G$2:$G$301,"Y")))</f>
        <v/>
      </c>
      <c r="O288" s="15" t="str">
        <f aca="false">IF(A288="","",AND(E288,G288="Y"))</f>
        <v/>
      </c>
      <c r="P288" s="17" t="str">
        <f aca="false">IF(A288="","",IF(AND(O288,N288&lt;&gt;""),N288,""))</f>
        <v/>
      </c>
      <c r="Q288" s="15" t="str">
        <f aca="false">IF(A288="","",COUNTIF(Picks!$A$2:$A$301,A288)&gt;0)</f>
        <v/>
      </c>
      <c r="R288" s="13"/>
      <c r="S288" s="13"/>
      <c r="T288" s="15" t="str">
        <f aca="false">IF(A288="","",COUNTIF(Nudges!$C$2:$C$301,A288)&gt;0)</f>
        <v/>
      </c>
      <c r="U288" s="8"/>
      <c r="V288" s="8"/>
    </row>
    <row r="289" customFormat="false" ht="15" hidden="false" customHeight="false" outlineLevel="0" collapsed="false">
      <c r="A289" s="13"/>
      <c r="B289" s="18"/>
      <c r="C289" s="15" t="str">
        <f aca="false">IF(B289="","",INT((B289-Settings!$B$2)/7)+1)</f>
        <v/>
      </c>
      <c r="D289" s="13"/>
      <c r="E289" s="15" t="str">
        <f aca="false">IF(A289="","",OR(D289=Settings!$B$3,AND(Settings!$B$4&lt;&gt;"",D289=Settings!$B$4)))</f>
        <v/>
      </c>
      <c r="F289" s="13"/>
      <c r="G289" s="13"/>
      <c r="H289" s="13"/>
      <c r="I289" s="13"/>
      <c r="J289" s="13"/>
      <c r="K289" s="18"/>
      <c r="L289" s="13"/>
      <c r="M289" s="15" t="str">
        <f aca="false">IF(A289="","",COUNTIFS(Quotes!$B$2:$B$301,A289,Quotes!$G$2:$G$301,"Y"))</f>
        <v/>
      </c>
      <c r="N289" s="17" t="str">
        <f aca="false">IF(A289="","",IF(M289=0,"",_xlfn.MINIFS(Quotes!$F$2:$F$301,Quotes!$B$2:$B$301,A289,Quotes!$G$2:$G$301,"Y")))</f>
        <v/>
      </c>
      <c r="O289" s="15" t="str">
        <f aca="false">IF(A289="","",AND(E289,G289="Y"))</f>
        <v/>
      </c>
      <c r="P289" s="17" t="str">
        <f aca="false">IF(A289="","",IF(AND(O289,N289&lt;&gt;""),N289,""))</f>
        <v/>
      </c>
      <c r="Q289" s="15" t="str">
        <f aca="false">IF(A289="","",COUNTIF(Picks!$A$2:$A$301,A289)&gt;0)</f>
        <v/>
      </c>
      <c r="R289" s="13"/>
      <c r="S289" s="13"/>
      <c r="T289" s="15" t="str">
        <f aca="false">IF(A289="","",COUNTIF(Nudges!$C$2:$C$301,A289)&gt;0)</f>
        <v/>
      </c>
      <c r="U289" s="8"/>
      <c r="V289" s="8"/>
    </row>
    <row r="290" customFormat="false" ht="15" hidden="false" customHeight="false" outlineLevel="0" collapsed="false">
      <c r="A290" s="13"/>
      <c r="B290" s="18"/>
      <c r="C290" s="15" t="str">
        <f aca="false">IF(B290="","",INT((B290-Settings!$B$2)/7)+1)</f>
        <v/>
      </c>
      <c r="D290" s="13"/>
      <c r="E290" s="15" t="str">
        <f aca="false">IF(A290="","",OR(D290=Settings!$B$3,AND(Settings!$B$4&lt;&gt;"",D290=Settings!$B$4)))</f>
        <v/>
      </c>
      <c r="F290" s="13"/>
      <c r="G290" s="13"/>
      <c r="H290" s="13"/>
      <c r="I290" s="13"/>
      <c r="J290" s="13"/>
      <c r="K290" s="18"/>
      <c r="L290" s="13"/>
      <c r="M290" s="15" t="str">
        <f aca="false">IF(A290="","",COUNTIFS(Quotes!$B$2:$B$301,A290,Quotes!$G$2:$G$301,"Y"))</f>
        <v/>
      </c>
      <c r="N290" s="17" t="str">
        <f aca="false">IF(A290="","",IF(M290=0,"",_xlfn.MINIFS(Quotes!$F$2:$F$301,Quotes!$B$2:$B$301,A290,Quotes!$G$2:$G$301,"Y")))</f>
        <v/>
      </c>
      <c r="O290" s="15" t="str">
        <f aca="false">IF(A290="","",AND(E290,G290="Y"))</f>
        <v/>
      </c>
      <c r="P290" s="17" t="str">
        <f aca="false">IF(A290="","",IF(AND(O290,N290&lt;&gt;""),N290,""))</f>
        <v/>
      </c>
      <c r="Q290" s="15" t="str">
        <f aca="false">IF(A290="","",COUNTIF(Picks!$A$2:$A$301,A290)&gt;0)</f>
        <v/>
      </c>
      <c r="R290" s="13"/>
      <c r="S290" s="13"/>
      <c r="T290" s="15" t="str">
        <f aca="false">IF(A290="","",COUNTIF(Nudges!$C$2:$C$301,A290)&gt;0)</f>
        <v/>
      </c>
      <c r="U290" s="8"/>
      <c r="V290" s="8"/>
    </row>
    <row r="291" customFormat="false" ht="15" hidden="false" customHeight="false" outlineLevel="0" collapsed="false">
      <c r="A291" s="13"/>
      <c r="B291" s="18"/>
      <c r="C291" s="15" t="str">
        <f aca="false">IF(B291="","",INT((B291-Settings!$B$2)/7)+1)</f>
        <v/>
      </c>
      <c r="D291" s="13"/>
      <c r="E291" s="15" t="str">
        <f aca="false">IF(A291="","",OR(D291=Settings!$B$3,AND(Settings!$B$4&lt;&gt;"",D291=Settings!$B$4)))</f>
        <v/>
      </c>
      <c r="F291" s="13"/>
      <c r="G291" s="13"/>
      <c r="H291" s="13"/>
      <c r="I291" s="13"/>
      <c r="J291" s="13"/>
      <c r="K291" s="18"/>
      <c r="L291" s="13"/>
      <c r="M291" s="15" t="str">
        <f aca="false">IF(A291="","",COUNTIFS(Quotes!$B$2:$B$301,A291,Quotes!$G$2:$G$301,"Y"))</f>
        <v/>
      </c>
      <c r="N291" s="17" t="str">
        <f aca="false">IF(A291="","",IF(M291=0,"",_xlfn.MINIFS(Quotes!$F$2:$F$301,Quotes!$B$2:$B$301,A291,Quotes!$G$2:$G$301,"Y")))</f>
        <v/>
      </c>
      <c r="O291" s="15" t="str">
        <f aca="false">IF(A291="","",AND(E291,G291="Y"))</f>
        <v/>
      </c>
      <c r="P291" s="17" t="str">
        <f aca="false">IF(A291="","",IF(AND(O291,N291&lt;&gt;""),N291,""))</f>
        <v/>
      </c>
      <c r="Q291" s="15" t="str">
        <f aca="false">IF(A291="","",COUNTIF(Picks!$A$2:$A$301,A291)&gt;0)</f>
        <v/>
      </c>
      <c r="R291" s="13"/>
      <c r="S291" s="13"/>
      <c r="T291" s="15" t="str">
        <f aca="false">IF(A291="","",COUNTIF(Nudges!$C$2:$C$301,A291)&gt;0)</f>
        <v/>
      </c>
      <c r="U291" s="8"/>
      <c r="V291" s="8"/>
    </row>
    <row r="292" customFormat="false" ht="15" hidden="false" customHeight="false" outlineLevel="0" collapsed="false">
      <c r="A292" s="13"/>
      <c r="B292" s="18"/>
      <c r="C292" s="15" t="str">
        <f aca="false">IF(B292="","",INT((B292-Settings!$B$2)/7)+1)</f>
        <v/>
      </c>
      <c r="D292" s="13"/>
      <c r="E292" s="15" t="str">
        <f aca="false">IF(A292="","",OR(D292=Settings!$B$3,AND(Settings!$B$4&lt;&gt;"",D292=Settings!$B$4)))</f>
        <v/>
      </c>
      <c r="F292" s="13"/>
      <c r="G292" s="13"/>
      <c r="H292" s="13"/>
      <c r="I292" s="13"/>
      <c r="J292" s="13"/>
      <c r="K292" s="18"/>
      <c r="L292" s="13"/>
      <c r="M292" s="15" t="str">
        <f aca="false">IF(A292="","",COUNTIFS(Quotes!$B$2:$B$301,A292,Quotes!$G$2:$G$301,"Y"))</f>
        <v/>
      </c>
      <c r="N292" s="17" t="str">
        <f aca="false">IF(A292="","",IF(M292=0,"",_xlfn.MINIFS(Quotes!$F$2:$F$301,Quotes!$B$2:$B$301,A292,Quotes!$G$2:$G$301,"Y")))</f>
        <v/>
      </c>
      <c r="O292" s="15" t="str">
        <f aca="false">IF(A292="","",AND(E292,G292="Y"))</f>
        <v/>
      </c>
      <c r="P292" s="17" t="str">
        <f aca="false">IF(A292="","",IF(AND(O292,N292&lt;&gt;""),N292,""))</f>
        <v/>
      </c>
      <c r="Q292" s="15" t="str">
        <f aca="false">IF(A292="","",COUNTIF(Picks!$A$2:$A$301,A292)&gt;0)</f>
        <v/>
      </c>
      <c r="R292" s="13"/>
      <c r="S292" s="13"/>
      <c r="T292" s="15" t="str">
        <f aca="false">IF(A292="","",COUNTIF(Nudges!$C$2:$C$301,A292)&gt;0)</f>
        <v/>
      </c>
      <c r="U292" s="8"/>
      <c r="V292" s="8"/>
    </row>
    <row r="293" customFormat="false" ht="15" hidden="false" customHeight="false" outlineLevel="0" collapsed="false">
      <c r="A293" s="13"/>
      <c r="B293" s="18"/>
      <c r="C293" s="15" t="str">
        <f aca="false">IF(B293="","",INT((B293-Settings!$B$2)/7)+1)</f>
        <v/>
      </c>
      <c r="D293" s="13"/>
      <c r="E293" s="15" t="str">
        <f aca="false">IF(A293="","",OR(D293=Settings!$B$3,AND(Settings!$B$4&lt;&gt;"",D293=Settings!$B$4)))</f>
        <v/>
      </c>
      <c r="F293" s="13"/>
      <c r="G293" s="13"/>
      <c r="H293" s="13"/>
      <c r="I293" s="13"/>
      <c r="J293" s="13"/>
      <c r="K293" s="18"/>
      <c r="L293" s="13"/>
      <c r="M293" s="15" t="str">
        <f aca="false">IF(A293="","",COUNTIFS(Quotes!$B$2:$B$301,A293,Quotes!$G$2:$G$301,"Y"))</f>
        <v/>
      </c>
      <c r="N293" s="17" t="str">
        <f aca="false">IF(A293="","",IF(M293=0,"",_xlfn.MINIFS(Quotes!$F$2:$F$301,Quotes!$B$2:$B$301,A293,Quotes!$G$2:$G$301,"Y")))</f>
        <v/>
      </c>
      <c r="O293" s="15" t="str">
        <f aca="false">IF(A293="","",AND(E293,G293="Y"))</f>
        <v/>
      </c>
      <c r="P293" s="17" t="str">
        <f aca="false">IF(A293="","",IF(AND(O293,N293&lt;&gt;""),N293,""))</f>
        <v/>
      </c>
      <c r="Q293" s="15" t="str">
        <f aca="false">IF(A293="","",COUNTIF(Picks!$A$2:$A$301,A293)&gt;0)</f>
        <v/>
      </c>
      <c r="R293" s="13"/>
      <c r="S293" s="13"/>
      <c r="T293" s="15" t="str">
        <f aca="false">IF(A293="","",COUNTIF(Nudges!$C$2:$C$301,A293)&gt;0)</f>
        <v/>
      </c>
      <c r="U293" s="8"/>
      <c r="V293" s="8"/>
    </row>
    <row r="294" customFormat="false" ht="15" hidden="false" customHeight="false" outlineLevel="0" collapsed="false">
      <c r="A294" s="13"/>
      <c r="B294" s="18"/>
      <c r="C294" s="15" t="str">
        <f aca="false">IF(B294="","",INT((B294-Settings!$B$2)/7)+1)</f>
        <v/>
      </c>
      <c r="D294" s="13"/>
      <c r="E294" s="15" t="str">
        <f aca="false">IF(A294="","",OR(D294=Settings!$B$3,AND(Settings!$B$4&lt;&gt;"",D294=Settings!$B$4)))</f>
        <v/>
      </c>
      <c r="F294" s="13"/>
      <c r="G294" s="13"/>
      <c r="H294" s="13"/>
      <c r="I294" s="13"/>
      <c r="J294" s="13"/>
      <c r="K294" s="18"/>
      <c r="L294" s="13"/>
      <c r="M294" s="15" t="str">
        <f aca="false">IF(A294="","",COUNTIFS(Quotes!$B$2:$B$301,A294,Quotes!$G$2:$G$301,"Y"))</f>
        <v/>
      </c>
      <c r="N294" s="17" t="str">
        <f aca="false">IF(A294="","",IF(M294=0,"",_xlfn.MINIFS(Quotes!$F$2:$F$301,Quotes!$B$2:$B$301,A294,Quotes!$G$2:$G$301,"Y")))</f>
        <v/>
      </c>
      <c r="O294" s="15" t="str">
        <f aca="false">IF(A294="","",AND(E294,G294="Y"))</f>
        <v/>
      </c>
      <c r="P294" s="17" t="str">
        <f aca="false">IF(A294="","",IF(AND(O294,N294&lt;&gt;""),N294,""))</f>
        <v/>
      </c>
      <c r="Q294" s="15" t="str">
        <f aca="false">IF(A294="","",COUNTIF(Picks!$A$2:$A$301,A294)&gt;0)</f>
        <v/>
      </c>
      <c r="R294" s="13"/>
      <c r="S294" s="13"/>
      <c r="T294" s="15" t="str">
        <f aca="false">IF(A294="","",COUNTIF(Nudges!$C$2:$C$301,A294)&gt;0)</f>
        <v/>
      </c>
      <c r="U294" s="8"/>
      <c r="V294" s="8"/>
    </row>
    <row r="295" customFormat="false" ht="15" hidden="false" customHeight="false" outlineLevel="0" collapsed="false">
      <c r="A295" s="13"/>
      <c r="B295" s="18"/>
      <c r="C295" s="15" t="str">
        <f aca="false">IF(B295="","",INT((B295-Settings!$B$2)/7)+1)</f>
        <v/>
      </c>
      <c r="D295" s="13"/>
      <c r="E295" s="15" t="str">
        <f aca="false">IF(A295="","",OR(D295=Settings!$B$3,AND(Settings!$B$4&lt;&gt;"",D295=Settings!$B$4)))</f>
        <v/>
      </c>
      <c r="F295" s="13"/>
      <c r="G295" s="13"/>
      <c r="H295" s="13"/>
      <c r="I295" s="13"/>
      <c r="J295" s="13"/>
      <c r="K295" s="18"/>
      <c r="L295" s="13"/>
      <c r="M295" s="15" t="str">
        <f aca="false">IF(A295="","",COUNTIFS(Quotes!$B$2:$B$301,A295,Quotes!$G$2:$G$301,"Y"))</f>
        <v/>
      </c>
      <c r="N295" s="17" t="str">
        <f aca="false">IF(A295="","",IF(M295=0,"",_xlfn.MINIFS(Quotes!$F$2:$F$301,Quotes!$B$2:$B$301,A295,Quotes!$G$2:$G$301,"Y")))</f>
        <v/>
      </c>
      <c r="O295" s="15" t="str">
        <f aca="false">IF(A295="","",AND(E295,G295="Y"))</f>
        <v/>
      </c>
      <c r="P295" s="17" t="str">
        <f aca="false">IF(A295="","",IF(AND(O295,N295&lt;&gt;""),N295,""))</f>
        <v/>
      </c>
      <c r="Q295" s="15" t="str">
        <f aca="false">IF(A295="","",COUNTIF(Picks!$A$2:$A$301,A295)&gt;0)</f>
        <v/>
      </c>
      <c r="R295" s="13"/>
      <c r="S295" s="13"/>
      <c r="T295" s="15" t="str">
        <f aca="false">IF(A295="","",COUNTIF(Nudges!$C$2:$C$301,A295)&gt;0)</f>
        <v/>
      </c>
      <c r="U295" s="8"/>
      <c r="V295" s="8"/>
    </row>
    <row r="296" customFormat="false" ht="15" hidden="false" customHeight="false" outlineLevel="0" collapsed="false">
      <c r="A296" s="13"/>
      <c r="B296" s="18"/>
      <c r="C296" s="15" t="str">
        <f aca="false">IF(B296="","",INT((B296-Settings!$B$2)/7)+1)</f>
        <v/>
      </c>
      <c r="D296" s="13"/>
      <c r="E296" s="15" t="str">
        <f aca="false">IF(A296="","",OR(D296=Settings!$B$3,AND(Settings!$B$4&lt;&gt;"",D296=Settings!$B$4)))</f>
        <v/>
      </c>
      <c r="F296" s="13"/>
      <c r="G296" s="13"/>
      <c r="H296" s="13"/>
      <c r="I296" s="13"/>
      <c r="J296" s="13"/>
      <c r="K296" s="18"/>
      <c r="L296" s="13"/>
      <c r="M296" s="15" t="str">
        <f aca="false">IF(A296="","",COUNTIFS(Quotes!$B$2:$B$301,A296,Quotes!$G$2:$G$301,"Y"))</f>
        <v/>
      </c>
      <c r="N296" s="17" t="str">
        <f aca="false">IF(A296="","",IF(M296=0,"",_xlfn.MINIFS(Quotes!$F$2:$F$301,Quotes!$B$2:$B$301,A296,Quotes!$G$2:$G$301,"Y")))</f>
        <v/>
      </c>
      <c r="O296" s="15" t="str">
        <f aca="false">IF(A296="","",AND(E296,G296="Y"))</f>
        <v/>
      </c>
      <c r="P296" s="17" t="str">
        <f aca="false">IF(A296="","",IF(AND(O296,N296&lt;&gt;""),N296,""))</f>
        <v/>
      </c>
      <c r="Q296" s="15" t="str">
        <f aca="false">IF(A296="","",COUNTIF(Picks!$A$2:$A$301,A296)&gt;0)</f>
        <v/>
      </c>
      <c r="R296" s="13"/>
      <c r="S296" s="13"/>
      <c r="T296" s="15" t="str">
        <f aca="false">IF(A296="","",COUNTIF(Nudges!$C$2:$C$301,A296)&gt;0)</f>
        <v/>
      </c>
      <c r="U296" s="8"/>
      <c r="V296" s="8"/>
    </row>
    <row r="297" customFormat="false" ht="15" hidden="false" customHeight="false" outlineLevel="0" collapsed="false">
      <c r="A297" s="13"/>
      <c r="B297" s="18"/>
      <c r="C297" s="15" t="str">
        <f aca="false">IF(B297="","",INT((B297-Settings!$B$2)/7)+1)</f>
        <v/>
      </c>
      <c r="D297" s="13"/>
      <c r="E297" s="15" t="str">
        <f aca="false">IF(A297="","",OR(D297=Settings!$B$3,AND(Settings!$B$4&lt;&gt;"",D297=Settings!$B$4)))</f>
        <v/>
      </c>
      <c r="F297" s="13"/>
      <c r="G297" s="13"/>
      <c r="H297" s="13"/>
      <c r="I297" s="13"/>
      <c r="J297" s="13"/>
      <c r="K297" s="18"/>
      <c r="L297" s="13"/>
      <c r="M297" s="15" t="str">
        <f aca="false">IF(A297="","",COUNTIFS(Quotes!$B$2:$B$301,A297,Quotes!$G$2:$G$301,"Y"))</f>
        <v/>
      </c>
      <c r="N297" s="17" t="str">
        <f aca="false">IF(A297="","",IF(M297=0,"",_xlfn.MINIFS(Quotes!$F$2:$F$301,Quotes!$B$2:$B$301,A297,Quotes!$G$2:$G$301,"Y")))</f>
        <v/>
      </c>
      <c r="O297" s="15" t="str">
        <f aca="false">IF(A297="","",AND(E297,G297="Y"))</f>
        <v/>
      </c>
      <c r="P297" s="17" t="str">
        <f aca="false">IF(A297="","",IF(AND(O297,N297&lt;&gt;""),N297,""))</f>
        <v/>
      </c>
      <c r="Q297" s="15" t="str">
        <f aca="false">IF(A297="","",COUNTIF(Picks!$A$2:$A$301,A297)&gt;0)</f>
        <v/>
      </c>
      <c r="R297" s="13"/>
      <c r="S297" s="13"/>
      <c r="T297" s="15" t="str">
        <f aca="false">IF(A297="","",COUNTIF(Nudges!$C$2:$C$301,A297)&gt;0)</f>
        <v/>
      </c>
      <c r="U297" s="8"/>
      <c r="V297" s="8"/>
    </row>
    <row r="298" customFormat="false" ht="15" hidden="false" customHeight="false" outlineLevel="0" collapsed="false">
      <c r="A298" s="13"/>
      <c r="B298" s="18"/>
      <c r="C298" s="15" t="str">
        <f aca="false">IF(B298="","",INT((B298-Settings!$B$2)/7)+1)</f>
        <v/>
      </c>
      <c r="D298" s="13"/>
      <c r="E298" s="15" t="str">
        <f aca="false">IF(A298="","",OR(D298=Settings!$B$3,AND(Settings!$B$4&lt;&gt;"",D298=Settings!$B$4)))</f>
        <v/>
      </c>
      <c r="F298" s="13"/>
      <c r="G298" s="13"/>
      <c r="H298" s="13"/>
      <c r="I298" s="13"/>
      <c r="J298" s="13"/>
      <c r="K298" s="18"/>
      <c r="L298" s="13"/>
      <c r="M298" s="15" t="str">
        <f aca="false">IF(A298="","",COUNTIFS(Quotes!$B$2:$B$301,A298,Quotes!$G$2:$G$301,"Y"))</f>
        <v/>
      </c>
      <c r="N298" s="17" t="str">
        <f aca="false">IF(A298="","",IF(M298=0,"",_xlfn.MINIFS(Quotes!$F$2:$F$301,Quotes!$B$2:$B$301,A298,Quotes!$G$2:$G$301,"Y")))</f>
        <v/>
      </c>
      <c r="O298" s="15" t="str">
        <f aca="false">IF(A298="","",AND(E298,G298="Y"))</f>
        <v/>
      </c>
      <c r="P298" s="17" t="str">
        <f aca="false">IF(A298="","",IF(AND(O298,N298&lt;&gt;""),N298,""))</f>
        <v/>
      </c>
      <c r="Q298" s="15" t="str">
        <f aca="false">IF(A298="","",COUNTIF(Picks!$A$2:$A$301,A298)&gt;0)</f>
        <v/>
      </c>
      <c r="R298" s="13"/>
      <c r="S298" s="13"/>
      <c r="T298" s="15" t="str">
        <f aca="false">IF(A298="","",COUNTIF(Nudges!$C$2:$C$301,A298)&gt;0)</f>
        <v/>
      </c>
      <c r="U298" s="8"/>
      <c r="V298" s="8"/>
    </row>
    <row r="299" customFormat="false" ht="15" hidden="false" customHeight="false" outlineLevel="0" collapsed="false">
      <c r="A299" s="13"/>
      <c r="B299" s="18"/>
      <c r="C299" s="15" t="str">
        <f aca="false">IF(B299="","",INT((B299-Settings!$B$2)/7)+1)</f>
        <v/>
      </c>
      <c r="D299" s="13"/>
      <c r="E299" s="15" t="str">
        <f aca="false">IF(A299="","",OR(D299=Settings!$B$3,AND(Settings!$B$4&lt;&gt;"",D299=Settings!$B$4)))</f>
        <v/>
      </c>
      <c r="F299" s="13"/>
      <c r="G299" s="13"/>
      <c r="H299" s="13"/>
      <c r="I299" s="13"/>
      <c r="J299" s="13"/>
      <c r="K299" s="18"/>
      <c r="L299" s="13"/>
      <c r="M299" s="15" t="str">
        <f aca="false">IF(A299="","",COUNTIFS(Quotes!$B$2:$B$301,A299,Quotes!$G$2:$G$301,"Y"))</f>
        <v/>
      </c>
      <c r="N299" s="17" t="str">
        <f aca="false">IF(A299="","",IF(M299=0,"",_xlfn.MINIFS(Quotes!$F$2:$F$301,Quotes!$B$2:$B$301,A299,Quotes!$G$2:$G$301,"Y")))</f>
        <v/>
      </c>
      <c r="O299" s="15" t="str">
        <f aca="false">IF(A299="","",AND(E299,G299="Y"))</f>
        <v/>
      </c>
      <c r="P299" s="17" t="str">
        <f aca="false">IF(A299="","",IF(AND(O299,N299&lt;&gt;""),N299,""))</f>
        <v/>
      </c>
      <c r="Q299" s="15" t="str">
        <f aca="false">IF(A299="","",COUNTIF(Picks!$A$2:$A$301,A299)&gt;0)</f>
        <v/>
      </c>
      <c r="R299" s="13"/>
      <c r="S299" s="13"/>
      <c r="T299" s="15" t="str">
        <f aca="false">IF(A299="","",COUNTIF(Nudges!$C$2:$C$301,A299)&gt;0)</f>
        <v/>
      </c>
      <c r="U299" s="8"/>
      <c r="V299" s="8"/>
    </row>
    <row r="300" customFormat="false" ht="15" hidden="false" customHeight="false" outlineLevel="0" collapsed="false">
      <c r="A300" s="13"/>
      <c r="B300" s="18"/>
      <c r="C300" s="15" t="str">
        <f aca="false">IF(B300="","",INT((B300-Settings!$B$2)/7)+1)</f>
        <v/>
      </c>
      <c r="D300" s="13"/>
      <c r="E300" s="15" t="str">
        <f aca="false">IF(A300="","",OR(D300=Settings!$B$3,AND(Settings!$B$4&lt;&gt;"",D300=Settings!$B$4)))</f>
        <v/>
      </c>
      <c r="F300" s="13"/>
      <c r="G300" s="13"/>
      <c r="H300" s="13"/>
      <c r="I300" s="13"/>
      <c r="J300" s="13"/>
      <c r="K300" s="18"/>
      <c r="L300" s="13"/>
      <c r="M300" s="15" t="str">
        <f aca="false">IF(A300="","",COUNTIFS(Quotes!$B$2:$B$301,A300,Quotes!$G$2:$G$301,"Y"))</f>
        <v/>
      </c>
      <c r="N300" s="17" t="str">
        <f aca="false">IF(A300="","",IF(M300=0,"",_xlfn.MINIFS(Quotes!$F$2:$F$301,Quotes!$B$2:$B$301,A300,Quotes!$G$2:$G$301,"Y")))</f>
        <v/>
      </c>
      <c r="O300" s="15" t="str">
        <f aca="false">IF(A300="","",AND(E300,G300="Y"))</f>
        <v/>
      </c>
      <c r="P300" s="17" t="str">
        <f aca="false">IF(A300="","",IF(AND(O300,N300&lt;&gt;""),N300,""))</f>
        <v/>
      </c>
      <c r="Q300" s="15" t="str">
        <f aca="false">IF(A300="","",COUNTIF(Picks!$A$2:$A$301,A300)&gt;0)</f>
        <v/>
      </c>
      <c r="R300" s="13"/>
      <c r="S300" s="13"/>
      <c r="T300" s="15" t="str">
        <f aca="false">IF(A300="","",COUNTIF(Nudges!$C$2:$C$301,A300)&gt;0)</f>
        <v/>
      </c>
      <c r="U300" s="8"/>
      <c r="V300" s="8"/>
    </row>
    <row r="301" customFormat="false" ht="15" hidden="false" customHeight="false" outlineLevel="0" collapsed="false">
      <c r="A301" s="13"/>
      <c r="B301" s="18"/>
      <c r="C301" s="15" t="str">
        <f aca="false">IF(B301="","",INT((B301-Settings!$B$2)/7)+1)</f>
        <v/>
      </c>
      <c r="D301" s="13"/>
      <c r="E301" s="15" t="str">
        <f aca="false">IF(A301="","",OR(D301=Settings!$B$3,AND(Settings!$B$4&lt;&gt;"",D301=Settings!$B$4)))</f>
        <v/>
      </c>
      <c r="F301" s="13"/>
      <c r="G301" s="13"/>
      <c r="H301" s="13"/>
      <c r="I301" s="13"/>
      <c r="J301" s="13"/>
      <c r="K301" s="18"/>
      <c r="L301" s="13"/>
      <c r="M301" s="15" t="str">
        <f aca="false">IF(A301="","",COUNTIFS(Quotes!$B$2:$B$301,A301,Quotes!$G$2:$G$301,"Y"))</f>
        <v/>
      </c>
      <c r="N301" s="17" t="str">
        <f aca="false">IF(A301="","",IF(M301=0,"",_xlfn.MINIFS(Quotes!$F$2:$F$301,Quotes!$B$2:$B$301,A301,Quotes!$G$2:$G$301,"Y")))</f>
        <v/>
      </c>
      <c r="O301" s="15" t="str">
        <f aca="false">IF(A301="","",AND(E301,G301="Y"))</f>
        <v/>
      </c>
      <c r="P301" s="17" t="str">
        <f aca="false">IF(A301="","",IF(AND(O301,N301&lt;&gt;""),N301,""))</f>
        <v/>
      </c>
      <c r="Q301" s="15" t="str">
        <f aca="false">IF(A301="","",COUNTIF(Picks!$A$2:$A$301,A301)&gt;0)</f>
        <v/>
      </c>
      <c r="R301" s="13"/>
      <c r="S301" s="13"/>
      <c r="T301" s="15" t="str">
        <f aca="false">IF(A301="","",COUNTIF(Nudges!$C$2:$C$301,A301)&gt;0)</f>
        <v/>
      </c>
      <c r="U301" s="8"/>
      <c r="V301" s="8"/>
    </row>
  </sheetData>
  <dataValidations count="2">
    <dataValidation allowBlank="true" errorStyle="stop" operator="between" showDropDown="false" showErrorMessage="false" showInputMessage="false" sqref="F2:F301" type="list">
      <formula1>"Seeded,Partner,Organic"</formula1>
      <formula2>0</formula2>
    </dataValidation>
    <dataValidation allowBlank="true" errorStyle="stop" operator="between" showDropDown="false" showErrorMessage="false" showInputMessage="false" sqref="G2:G301 L2:L3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4" min="4" style="0" width="17"/>
    <col collapsed="false" customWidth="true" hidden="false" outlineLevel="0" max="5" min="5" style="0" width="22"/>
    <col collapsed="false" customWidth="true" hidden="false" outlineLevel="0" max="6" min="6" style="0" width="18"/>
    <col collapsed="false" customWidth="true" hidden="false" outlineLevel="0" max="7" min="7" style="0" width="20"/>
    <col collapsed="false" customWidth="true" hidden="false" outlineLevel="0" max="9" min="8" style="0" width="12"/>
  </cols>
  <sheetData>
    <row r="1" customFormat="false" ht="31.5" hidden="false" customHeight="true" outlineLevel="0" collapsed="false">
      <c r="A1" s="10" t="s">
        <v>277</v>
      </c>
      <c r="B1" s="10" t="s">
        <v>124</v>
      </c>
      <c r="C1" s="10" t="s">
        <v>54</v>
      </c>
      <c r="D1" s="10" t="s">
        <v>125</v>
      </c>
      <c r="E1" s="10" t="s">
        <v>278</v>
      </c>
      <c r="F1" s="10" t="s">
        <v>279</v>
      </c>
      <c r="G1" s="10" t="s">
        <v>280</v>
      </c>
      <c r="H1" s="10" t="s">
        <v>281</v>
      </c>
      <c r="I1" s="10" t="s">
        <v>126</v>
      </c>
      <c r="J1" s="8"/>
      <c r="K1" s="8" t="s">
        <v>69</v>
      </c>
    </row>
    <row r="2" customFormat="false" ht="15" hidden="false" customHeight="false" outlineLevel="0" collapsed="false">
      <c r="A2" s="13" t="s">
        <v>282</v>
      </c>
      <c r="B2" s="13" t="s">
        <v>141</v>
      </c>
      <c r="C2" s="13" t="s">
        <v>105</v>
      </c>
      <c r="D2" s="18" t="n">
        <v>46329.1339419176</v>
      </c>
      <c r="E2" s="19" t="n">
        <v>380</v>
      </c>
      <c r="F2" s="17" t="n">
        <f aca="false">IF(OR(B2="",D2=""),"",IFERROR((D2-INDEX(Requests!$K$2:$K$301,MATCH(B2,Requests!$A$2:$A$301,0)))*24,""))</f>
        <v>8.46460602118167</v>
      </c>
      <c r="G2" s="15" t="str">
        <f aca="false">IF(F2="","",IF(F2&lt;=24,"Y","N"))</f>
        <v>Y</v>
      </c>
      <c r="H2" s="13" t="s">
        <v>283</v>
      </c>
      <c r="I2" s="15" t="n">
        <f aca="false">IF(D2="","",INT((D2-Settings!$B$2)/7)+1)</f>
        <v>1</v>
      </c>
      <c r="J2" s="8"/>
      <c r="K2" s="8"/>
    </row>
    <row r="3" customFormat="false" ht="15" hidden="false" customHeight="false" outlineLevel="0" collapsed="false">
      <c r="A3" s="13" t="s">
        <v>284</v>
      </c>
      <c r="B3" s="13" t="s">
        <v>141</v>
      </c>
      <c r="C3" s="13" t="s">
        <v>95</v>
      </c>
      <c r="D3" s="18" t="n">
        <v>46328.9016489558</v>
      </c>
      <c r="E3" s="19" t="n">
        <v>150</v>
      </c>
      <c r="F3" s="17" t="n">
        <f aca="false">IF(OR(B3="",D3=""),"",IFERROR((D3-INDEX(Requests!$K$2:$K$301,MATCH(B3,Requests!$A$2:$A$301,0)))*24,""))</f>
        <v>2.88957493985056</v>
      </c>
      <c r="G3" s="15" t="str">
        <f aca="false">IF(F3="","",IF(F3&lt;=24,"Y","N"))</f>
        <v>Y</v>
      </c>
      <c r="H3" s="13" t="s">
        <v>283</v>
      </c>
      <c r="I3" s="15" t="n">
        <f aca="false">IF(D3="","",INT((D3-Settings!$B$2)/7)+1)</f>
        <v>1</v>
      </c>
      <c r="J3" s="8"/>
      <c r="K3" s="8"/>
    </row>
    <row r="4" customFormat="false" ht="15" hidden="false" customHeight="false" outlineLevel="0" collapsed="false">
      <c r="A4" s="13" t="s">
        <v>285</v>
      </c>
      <c r="B4" s="13" t="s">
        <v>147</v>
      </c>
      <c r="C4" s="13" t="s">
        <v>92</v>
      </c>
      <c r="D4" s="18" t="n">
        <v>46331.7660131788</v>
      </c>
      <c r="E4" s="19" t="n">
        <v>520</v>
      </c>
      <c r="F4" s="17" t="n">
        <f aca="false">IF(OR(B4="",D4=""),"",IFERROR((D4-INDEX(Requests!$K$2:$K$301,MATCH(B4,Requests!$A$2:$A$301,0)))*24,""))</f>
        <v>25.8843162899719</v>
      </c>
      <c r="G4" s="15" t="str">
        <f aca="false">IF(F4="","",IF(F4&lt;=24,"Y","N"))</f>
        <v>N</v>
      </c>
      <c r="H4" s="13" t="s">
        <v>286</v>
      </c>
      <c r="I4" s="15" t="n">
        <f aca="false">IF(D4="","",INT((D4-Settings!$B$2)/7)+1)</f>
        <v>1</v>
      </c>
      <c r="J4" s="8"/>
      <c r="K4" s="8"/>
    </row>
    <row r="5" customFormat="false" ht="15" hidden="false" customHeight="false" outlineLevel="0" collapsed="false">
      <c r="A5" s="13" t="s">
        <v>287</v>
      </c>
      <c r="B5" s="13" t="s">
        <v>152</v>
      </c>
      <c r="C5" s="13" t="s">
        <v>98</v>
      </c>
      <c r="D5" s="18" t="n">
        <v>46331.8155155057</v>
      </c>
      <c r="E5" s="19" t="n">
        <v>220</v>
      </c>
      <c r="F5" s="17" t="n">
        <f aca="false">IF(OR(B5="",D5=""),"",IFERROR((D5-INDEX(Requests!$K$2:$K$301,MATCH(B5,Requests!$A$2:$A$301,0)))*24,""))</f>
        <v>7.32237213797611</v>
      </c>
      <c r="G5" s="15" t="str">
        <f aca="false">IF(F5="","",IF(F5&lt;=24,"Y","N"))</f>
        <v>Y</v>
      </c>
      <c r="H5" s="13" t="s">
        <v>288</v>
      </c>
      <c r="I5" s="15" t="n">
        <f aca="false">IF(D5="","",INT((D5-Settings!$B$2)/7)+1)</f>
        <v>1</v>
      </c>
      <c r="J5" s="8"/>
      <c r="K5" s="8"/>
    </row>
    <row r="6" customFormat="false" ht="15" hidden="false" customHeight="false" outlineLevel="0" collapsed="false">
      <c r="A6" s="13" t="s">
        <v>289</v>
      </c>
      <c r="B6" s="13" t="s">
        <v>152</v>
      </c>
      <c r="C6" s="13" t="s">
        <v>105</v>
      </c>
      <c r="D6" s="18" t="n">
        <v>46331.8387375768</v>
      </c>
      <c r="E6" s="19" t="n">
        <v>150</v>
      </c>
      <c r="F6" s="17" t="n">
        <f aca="false">IF(OR(B6="",D6=""),"",IFERROR((D6-INDEX(Requests!$K$2:$K$301,MATCH(B6,Requests!$A$2:$A$301,0)))*24,""))</f>
        <v>7.87970184325222</v>
      </c>
      <c r="G6" s="15" t="str">
        <f aca="false">IF(F6="","",IF(F6&lt;=24,"Y","N"))</f>
        <v>Y</v>
      </c>
      <c r="H6" s="13" t="s">
        <v>283</v>
      </c>
      <c r="I6" s="15" t="n">
        <f aca="false">IF(D6="","",INT((D6-Settings!$B$2)/7)+1)</f>
        <v>1</v>
      </c>
      <c r="J6" s="8"/>
      <c r="K6" s="8"/>
    </row>
    <row r="7" customFormat="false" ht="15" hidden="false" customHeight="false" outlineLevel="0" collapsed="false">
      <c r="A7" s="13" t="s">
        <v>290</v>
      </c>
      <c r="B7" s="13" t="s">
        <v>162</v>
      </c>
      <c r="C7" s="13" t="s">
        <v>70</v>
      </c>
      <c r="D7" s="18" t="n">
        <v>46334.4555839422</v>
      </c>
      <c r="E7" s="19" t="n">
        <v>520</v>
      </c>
      <c r="F7" s="17" t="n">
        <f aca="false">IF(OR(B7="",D7=""),"",IFERROR((D7-INDEX(Requests!$K$2:$K$301,MATCH(B7,Requests!$A$2:$A$301,0)))*24,""))</f>
        <v>0.6840146133325</v>
      </c>
      <c r="G7" s="15" t="str">
        <f aca="false">IF(F7="","",IF(F7&lt;=24,"Y","N"))</f>
        <v>Y</v>
      </c>
      <c r="H7" s="13" t="s">
        <v>286</v>
      </c>
      <c r="I7" s="15" t="n">
        <f aca="false">IF(D7="","",INT((D7-Settings!$B$2)/7)+1)</f>
        <v>1</v>
      </c>
      <c r="J7" s="8"/>
      <c r="K7" s="8"/>
    </row>
    <row r="8" customFormat="false" ht="15" hidden="false" customHeight="false" outlineLevel="0" collapsed="false">
      <c r="A8" s="13" t="s">
        <v>291</v>
      </c>
      <c r="B8" s="13" t="s">
        <v>166</v>
      </c>
      <c r="C8" s="13" t="s">
        <v>87</v>
      </c>
      <c r="D8" s="18" t="n">
        <v>46336.1040579735</v>
      </c>
      <c r="E8" s="19" t="n">
        <v>480</v>
      </c>
      <c r="F8" s="17" t="n">
        <f aca="false">IF(OR(B8="",D8=""),"",IFERROR((D8-INDEX(Requests!$K$2:$K$301,MATCH(B8,Requests!$A$2:$A$301,0)))*24,""))</f>
        <v>9.99739136360583</v>
      </c>
      <c r="G8" s="15" t="str">
        <f aca="false">IF(F8="","",IF(F8&lt;=24,"Y","N"))</f>
        <v>Y</v>
      </c>
      <c r="H8" s="13" t="s">
        <v>286</v>
      </c>
      <c r="I8" s="15" t="n">
        <f aca="false">IF(D8="","",INT((D8-Settings!$B$2)/7)+1)</f>
        <v>2</v>
      </c>
      <c r="J8" s="8"/>
      <c r="K8" s="8"/>
    </row>
    <row r="9" customFormat="false" ht="15" hidden="false" customHeight="false" outlineLevel="0" collapsed="false">
      <c r="A9" s="13" t="s">
        <v>292</v>
      </c>
      <c r="B9" s="13" t="s">
        <v>166</v>
      </c>
      <c r="C9" s="13" t="s">
        <v>92</v>
      </c>
      <c r="D9" s="18" t="n">
        <v>46335.7853708701</v>
      </c>
      <c r="E9" s="19" t="n">
        <v>520</v>
      </c>
      <c r="F9" s="17" t="n">
        <f aca="false">IF(OR(B9="",D9=""),"",IFERROR((D9-INDEX(Requests!$K$2:$K$301,MATCH(B9,Requests!$A$2:$A$301,0)))*24,""))</f>
        <v>2.34890088293444</v>
      </c>
      <c r="G9" s="15" t="str">
        <f aca="false">IF(F9="","",IF(F9&lt;=24,"Y","N"))</f>
        <v>Y</v>
      </c>
      <c r="H9" s="13" t="s">
        <v>286</v>
      </c>
      <c r="I9" s="15" t="n">
        <f aca="false">IF(D9="","",INT((D9-Settings!$B$2)/7)+1)</f>
        <v>2</v>
      </c>
      <c r="J9" s="8"/>
      <c r="K9" s="8"/>
    </row>
    <row r="10" customFormat="false" ht="15" hidden="false" customHeight="false" outlineLevel="0" collapsed="false">
      <c r="A10" s="13" t="s">
        <v>293</v>
      </c>
      <c r="B10" s="13" t="s">
        <v>166</v>
      </c>
      <c r="C10" s="13" t="s">
        <v>77</v>
      </c>
      <c r="D10" s="18" t="n">
        <v>46335.7941478872</v>
      </c>
      <c r="E10" s="19" t="n">
        <v>520</v>
      </c>
      <c r="F10" s="17" t="n">
        <f aca="false">IF(OR(B10="",D10=""),"",IFERROR((D10-INDEX(Requests!$K$2:$K$301,MATCH(B10,Requests!$A$2:$A$301,0)))*24,""))</f>
        <v>2.55954929249111</v>
      </c>
      <c r="G10" s="15" t="str">
        <f aca="false">IF(F10="","",IF(F10&lt;=24,"Y","N"))</f>
        <v>Y</v>
      </c>
      <c r="H10" s="13" t="s">
        <v>286</v>
      </c>
      <c r="I10" s="15" t="n">
        <f aca="false">IF(D10="","",INT((D10-Settings!$B$2)/7)+1)</f>
        <v>2</v>
      </c>
      <c r="J10" s="8"/>
      <c r="K10" s="8"/>
    </row>
    <row r="11" customFormat="false" ht="15" hidden="false" customHeight="false" outlineLevel="0" collapsed="false">
      <c r="A11" s="13" t="s">
        <v>294</v>
      </c>
      <c r="B11" s="13" t="s">
        <v>166</v>
      </c>
      <c r="C11" s="13" t="s">
        <v>83</v>
      </c>
      <c r="D11" s="18" t="n">
        <v>46335.7952990179</v>
      </c>
      <c r="E11" s="19" t="n">
        <v>560</v>
      </c>
      <c r="F11" s="17" t="n">
        <f aca="false">IF(OR(B11="",D11=""),"",IFERROR((D11-INDEX(Requests!$K$2:$K$301,MATCH(B11,Requests!$A$2:$A$301,0)))*24,""))</f>
        <v>2.58717643038833</v>
      </c>
      <c r="G11" s="15" t="str">
        <f aca="false">IF(F11="","",IF(F11&lt;=24,"Y","N"))</f>
        <v>Y</v>
      </c>
      <c r="H11" s="13" t="s">
        <v>286</v>
      </c>
      <c r="I11" s="15" t="n">
        <f aca="false">IF(D11="","",INT((D11-Settings!$B$2)/7)+1)</f>
        <v>2</v>
      </c>
      <c r="J11" s="8"/>
      <c r="K11" s="8"/>
    </row>
    <row r="12" customFormat="false" ht="15" hidden="false" customHeight="false" outlineLevel="0" collapsed="false">
      <c r="A12" s="13" t="s">
        <v>295</v>
      </c>
      <c r="B12" s="13" t="s">
        <v>174</v>
      </c>
      <c r="C12" s="13" t="s">
        <v>108</v>
      </c>
      <c r="D12" s="18" t="n">
        <v>46336.8314176732</v>
      </c>
      <c r="E12" s="19" t="n">
        <v>220</v>
      </c>
      <c r="F12" s="17" t="n">
        <f aca="false">IF(OR(B12="",D12=""),"",IFERROR((D12-INDEX(Requests!$K$2:$K$301,MATCH(B12,Requests!$A$2:$A$301,0)))*24,""))</f>
        <v>1.70402415725389</v>
      </c>
      <c r="G12" s="15" t="str">
        <f aca="false">IF(F12="","",IF(F12&lt;=24,"Y","N"))</f>
        <v>Y</v>
      </c>
      <c r="H12" s="13" t="s">
        <v>296</v>
      </c>
      <c r="I12" s="15" t="n">
        <f aca="false">IF(D12="","",INT((D12-Settings!$B$2)/7)+1)</f>
        <v>2</v>
      </c>
      <c r="J12" s="8"/>
      <c r="K12" s="8"/>
    </row>
    <row r="13" customFormat="false" ht="15" hidden="false" customHeight="false" outlineLevel="0" collapsed="false">
      <c r="A13" s="13" t="s">
        <v>297</v>
      </c>
      <c r="B13" s="13" t="s">
        <v>174</v>
      </c>
      <c r="C13" s="13" t="s">
        <v>95</v>
      </c>
      <c r="D13" s="18" t="n">
        <v>46337.194024523</v>
      </c>
      <c r="E13" s="19" t="n">
        <v>650</v>
      </c>
      <c r="F13" s="17" t="n">
        <f aca="false">IF(OR(B13="",D13=""),"",IFERROR((D13-INDEX(Requests!$K$2:$K$301,MATCH(B13,Requests!$A$2:$A$301,0)))*24,""))</f>
        <v>10.4065885513553</v>
      </c>
      <c r="G13" s="15" t="str">
        <f aca="false">IF(F13="","",IF(F13&lt;=24,"Y","N"))</f>
        <v>Y</v>
      </c>
      <c r="H13" s="13" t="s">
        <v>283</v>
      </c>
      <c r="I13" s="15" t="n">
        <f aca="false">IF(D13="","",INT((D13-Settings!$B$2)/7)+1)</f>
        <v>2</v>
      </c>
      <c r="J13" s="8"/>
      <c r="K13" s="8"/>
    </row>
    <row r="14" customFormat="false" ht="15" hidden="false" customHeight="false" outlineLevel="0" collapsed="false">
      <c r="A14" s="13" t="s">
        <v>298</v>
      </c>
      <c r="B14" s="13" t="s">
        <v>174</v>
      </c>
      <c r="C14" s="13" t="s">
        <v>98</v>
      </c>
      <c r="D14" s="18" t="n">
        <v>46336.9362662836</v>
      </c>
      <c r="E14" s="19" t="n">
        <v>900</v>
      </c>
      <c r="F14" s="17" t="n">
        <f aca="false">IF(OR(B14="",D14=""),"",IFERROR((D14-INDEX(Requests!$K$2:$K$301,MATCH(B14,Requests!$A$2:$A$301,0)))*24,""))</f>
        <v>4.22039080574167</v>
      </c>
      <c r="G14" s="15" t="str">
        <f aca="false">IF(F14="","",IF(F14&lt;=24,"Y","N"))</f>
        <v>Y</v>
      </c>
      <c r="H14" s="13" t="s">
        <v>283</v>
      </c>
      <c r="I14" s="15" t="n">
        <f aca="false">IF(D14="","",INT((D14-Settings!$B$2)/7)+1)</f>
        <v>2</v>
      </c>
      <c r="J14" s="8"/>
      <c r="K14" s="8"/>
    </row>
    <row r="15" customFormat="false" ht="15" hidden="false" customHeight="false" outlineLevel="0" collapsed="false">
      <c r="A15" s="13" t="s">
        <v>299</v>
      </c>
      <c r="B15" s="13" t="s">
        <v>192</v>
      </c>
      <c r="C15" s="13" t="s">
        <v>92</v>
      </c>
      <c r="D15" s="18" t="n">
        <v>46343.9710341498</v>
      </c>
      <c r="E15" s="19" t="n">
        <v>480</v>
      </c>
      <c r="F15" s="17" t="n">
        <f aca="false">IF(OR(B15="",D15=""),"",IFERROR((D15-INDEX(Requests!$K$2:$K$301,MATCH(B15,Requests!$A$2:$A$301,0)))*24,""))</f>
        <v>3.5548195955925</v>
      </c>
      <c r="G15" s="15" t="str">
        <f aca="false">IF(F15="","",IF(F15&lt;=24,"Y","N"))</f>
        <v>Y</v>
      </c>
      <c r="H15" s="13" t="s">
        <v>286</v>
      </c>
      <c r="I15" s="15" t="n">
        <f aca="false">IF(D15="","",INT((D15-Settings!$B$2)/7)+1)</f>
        <v>3</v>
      </c>
      <c r="J15" s="8"/>
      <c r="K15" s="8"/>
    </row>
    <row r="16" customFormat="false" ht="15" hidden="false" customHeight="false" outlineLevel="0" collapsed="false">
      <c r="A16" s="13" t="s">
        <v>300</v>
      </c>
      <c r="B16" s="13" t="s">
        <v>200</v>
      </c>
      <c r="C16" s="13" t="s">
        <v>92</v>
      </c>
      <c r="D16" s="18" t="n">
        <v>46345.8449394392</v>
      </c>
      <c r="E16" s="19" t="n">
        <v>520</v>
      </c>
      <c r="F16" s="17" t="n">
        <f aca="false">IF(OR(B16="",D16=""),"",IFERROR((D16-INDEX(Requests!$K$2:$K$301,MATCH(B16,Requests!$A$2:$A$301,0)))*24,""))</f>
        <v>2.27854654082306</v>
      </c>
      <c r="G16" s="15" t="str">
        <f aca="false">IF(F16="","",IF(F16&lt;=24,"Y","N"))</f>
        <v>Y</v>
      </c>
      <c r="H16" s="13" t="s">
        <v>286</v>
      </c>
      <c r="I16" s="15" t="n">
        <f aca="false">IF(D16="","",INT((D16-Settings!$B$2)/7)+1)</f>
        <v>3</v>
      </c>
      <c r="J16" s="8"/>
      <c r="K16" s="8"/>
    </row>
    <row r="17" customFormat="false" ht="15" hidden="false" customHeight="false" outlineLevel="0" collapsed="false">
      <c r="A17" s="13" t="s">
        <v>301</v>
      </c>
      <c r="B17" s="13" t="s">
        <v>200</v>
      </c>
      <c r="C17" s="13" t="s">
        <v>77</v>
      </c>
      <c r="D17" s="18" t="n">
        <v>46345.7885698684</v>
      </c>
      <c r="E17" s="19" t="n">
        <v>560</v>
      </c>
      <c r="F17" s="17" t="n">
        <f aca="false">IF(OR(B17="",D17=""),"",IFERROR((D17-INDEX(Requests!$K$2:$K$301,MATCH(B17,Requests!$A$2:$A$301,0)))*24,""))</f>
        <v>0.925676840473889</v>
      </c>
      <c r="G17" s="15" t="str">
        <f aca="false">IF(F17="","",IF(F17&lt;=24,"Y","N"))</f>
        <v>Y</v>
      </c>
      <c r="H17" s="13" t="s">
        <v>286</v>
      </c>
      <c r="I17" s="15" t="n">
        <f aca="false">IF(D17="","",INT((D17-Settings!$B$2)/7)+1)</f>
        <v>3</v>
      </c>
      <c r="J17" s="8"/>
      <c r="K17" s="8"/>
    </row>
    <row r="18" customFormat="false" ht="15" hidden="false" customHeight="false" outlineLevel="0" collapsed="false">
      <c r="A18" s="13" t="s">
        <v>302</v>
      </c>
      <c r="B18" s="13" t="s">
        <v>200</v>
      </c>
      <c r="C18" s="13" t="s">
        <v>83</v>
      </c>
      <c r="D18" s="18" t="n">
        <v>46346.0005349658</v>
      </c>
      <c r="E18" s="19" t="n">
        <v>520</v>
      </c>
      <c r="F18" s="17" t="n">
        <f aca="false">IF(OR(B18="",D18=""),"",IFERROR((D18-INDEX(Requests!$K$2:$K$301,MATCH(B18,Requests!$A$2:$A$301,0)))*24,""))</f>
        <v>6.01283917942778</v>
      </c>
      <c r="G18" s="15" t="str">
        <f aca="false">IF(F18="","",IF(F18&lt;=24,"Y","N"))</f>
        <v>Y</v>
      </c>
      <c r="H18" s="13" t="s">
        <v>286</v>
      </c>
      <c r="I18" s="15" t="n">
        <f aca="false">IF(D18="","",INT((D18-Settings!$B$2)/7)+1)</f>
        <v>3</v>
      </c>
      <c r="J18" s="8"/>
      <c r="K18" s="8"/>
    </row>
    <row r="19" customFormat="false" ht="15" hidden="false" customHeight="false" outlineLevel="0" collapsed="false">
      <c r="A19" s="13" t="s">
        <v>303</v>
      </c>
      <c r="B19" s="13" t="s">
        <v>204</v>
      </c>
      <c r="C19" s="13" t="s">
        <v>83</v>
      </c>
      <c r="D19" s="18" t="n">
        <v>46346.557765854</v>
      </c>
      <c r="E19" s="19" t="n">
        <v>560</v>
      </c>
      <c r="F19" s="17" t="n">
        <f aca="false">IF(OR(B19="",D19=""),"",IFERROR((D19-INDEX(Requests!$K$2:$K$301,MATCH(B19,Requests!$A$2:$A$301,0)))*24,""))</f>
        <v>1.13638049655111</v>
      </c>
      <c r="G19" s="15" t="str">
        <f aca="false">IF(F19="","",IF(F19&lt;=24,"Y","N"))</f>
        <v>Y</v>
      </c>
      <c r="H19" s="13" t="s">
        <v>286</v>
      </c>
      <c r="I19" s="15" t="n">
        <f aca="false">IF(D19="","",INT((D19-Settings!$B$2)/7)+1)</f>
        <v>3</v>
      </c>
      <c r="J19" s="8"/>
      <c r="K19" s="8"/>
    </row>
    <row r="20" customFormat="false" ht="15" hidden="false" customHeight="false" outlineLevel="0" collapsed="false">
      <c r="A20" s="13" t="s">
        <v>304</v>
      </c>
      <c r="B20" s="13" t="s">
        <v>204</v>
      </c>
      <c r="C20" s="13" t="s">
        <v>87</v>
      </c>
      <c r="D20" s="18" t="n">
        <v>46346.6067091041</v>
      </c>
      <c r="E20" s="19" t="n">
        <v>480</v>
      </c>
      <c r="F20" s="17" t="n">
        <f aca="false">IF(OR(B20="",D20=""),"",IFERROR((D20-INDEX(Requests!$K$2:$K$301,MATCH(B20,Requests!$A$2:$A$301,0)))*24,""))</f>
        <v>2.31101849820694</v>
      </c>
      <c r="G20" s="15" t="str">
        <f aca="false">IF(F20="","",IF(F20&lt;=24,"Y","N"))</f>
        <v>Y</v>
      </c>
      <c r="H20" s="13" t="s">
        <v>286</v>
      </c>
      <c r="I20" s="15" t="n">
        <f aca="false">IF(D20="","",INT((D20-Settings!$B$2)/7)+1)</f>
        <v>3</v>
      </c>
      <c r="J20" s="8"/>
      <c r="K20" s="8"/>
    </row>
    <row r="21" customFormat="false" ht="15" hidden="false" customHeight="false" outlineLevel="0" collapsed="false">
      <c r="A21" s="13" t="s">
        <v>305</v>
      </c>
      <c r="B21" s="13" t="s">
        <v>208</v>
      </c>
      <c r="C21" s="13" t="s">
        <v>108</v>
      </c>
      <c r="D21" s="18" t="n">
        <v>46348.7186284266</v>
      </c>
      <c r="E21" s="19" t="n">
        <v>650</v>
      </c>
      <c r="F21" s="17" t="n">
        <f aca="false">IF(OR(B21="",D21=""),"",IFERROR((D21-INDEX(Requests!$K$2:$K$301,MATCH(B21,Requests!$A$2:$A$301,0)))*24,""))</f>
        <v>2.4970822386675</v>
      </c>
      <c r="G21" s="15" t="str">
        <f aca="false">IF(F21="","",IF(F21&lt;=24,"Y","N"))</f>
        <v>Y</v>
      </c>
      <c r="H21" s="13" t="s">
        <v>288</v>
      </c>
      <c r="I21" s="15" t="n">
        <f aca="false">IF(D21="","",INT((D21-Settings!$B$2)/7)+1)</f>
        <v>3</v>
      </c>
      <c r="J21" s="8"/>
      <c r="K21" s="8"/>
    </row>
    <row r="22" customFormat="false" ht="15" hidden="false" customHeight="false" outlineLevel="0" collapsed="false">
      <c r="A22" s="13" t="s">
        <v>306</v>
      </c>
      <c r="B22" s="13" t="s">
        <v>213</v>
      </c>
      <c r="C22" s="13" t="s">
        <v>108</v>
      </c>
      <c r="D22" s="18" t="n">
        <v>46348.5390628797</v>
      </c>
      <c r="E22" s="19" t="n">
        <v>220</v>
      </c>
      <c r="F22" s="17" t="n">
        <f aca="false">IF(OR(B22="",D22=""),"",IFERROR((D22-INDEX(Requests!$K$2:$K$301,MATCH(B22,Requests!$A$2:$A$301,0)))*24,""))</f>
        <v>1.43750911345694</v>
      </c>
      <c r="G22" s="15" t="str">
        <f aca="false">IF(F22="","",IF(F22&lt;=24,"Y","N"))</f>
        <v>Y</v>
      </c>
      <c r="H22" s="13" t="s">
        <v>288</v>
      </c>
      <c r="I22" s="15" t="n">
        <f aca="false">IF(D22="","",INT((D22-Settings!$B$2)/7)+1)</f>
        <v>3</v>
      </c>
      <c r="J22" s="8"/>
      <c r="K22" s="8"/>
    </row>
    <row r="23" customFormat="false" ht="15" hidden="false" customHeight="false" outlineLevel="0" collapsed="false">
      <c r="A23" s="13" t="s">
        <v>307</v>
      </c>
      <c r="B23" s="13" t="s">
        <v>213</v>
      </c>
      <c r="C23" s="13" t="s">
        <v>105</v>
      </c>
      <c r="D23" s="18" t="n">
        <v>46348.7475017993</v>
      </c>
      <c r="E23" s="19" t="n">
        <v>900</v>
      </c>
      <c r="F23" s="17" t="n">
        <f aca="false">IF(OR(B23="",D23=""),"",IFERROR((D23-INDEX(Requests!$K$2:$K$301,MATCH(B23,Requests!$A$2:$A$301,0)))*24,""))</f>
        <v>6.44004318321806</v>
      </c>
      <c r="G23" s="15" t="str">
        <f aca="false">IF(F23="","",IF(F23&lt;=24,"Y","N"))</f>
        <v>Y</v>
      </c>
      <c r="H23" s="13" t="s">
        <v>296</v>
      </c>
      <c r="I23" s="15" t="n">
        <f aca="false">IF(D23="","",INT((D23-Settings!$B$2)/7)+1)</f>
        <v>3</v>
      </c>
      <c r="J23" s="8"/>
      <c r="K23" s="8"/>
    </row>
    <row r="24" customFormat="false" ht="15" hidden="false" customHeight="false" outlineLevel="0" collapsed="false">
      <c r="A24" s="13" t="s">
        <v>308</v>
      </c>
      <c r="B24" s="13" t="s">
        <v>217</v>
      </c>
      <c r="C24" s="13" t="s">
        <v>105</v>
      </c>
      <c r="D24" s="18" t="n">
        <v>46349.859408386</v>
      </c>
      <c r="E24" s="19" t="n">
        <v>220</v>
      </c>
      <c r="F24" s="17" t="n">
        <f aca="false">IF(OR(B24="",D24=""),"",IFERROR((D24-INDEX(Requests!$K$2:$K$301,MATCH(B24,Requests!$A$2:$A$301,0)))*24,""))</f>
        <v>1.87580126454111</v>
      </c>
      <c r="G24" s="15" t="str">
        <f aca="false">IF(F24="","",IF(F24&lt;=24,"Y","N"))</f>
        <v>Y</v>
      </c>
      <c r="H24" s="13" t="s">
        <v>296</v>
      </c>
      <c r="I24" s="15" t="n">
        <f aca="false">IF(D24="","",INT((D24-Settings!$B$2)/7)+1)</f>
        <v>4</v>
      </c>
      <c r="J24" s="8"/>
      <c r="K24" s="8"/>
    </row>
    <row r="25" customFormat="false" ht="15" hidden="false" customHeight="false" outlineLevel="0" collapsed="false">
      <c r="A25" s="13" t="s">
        <v>309</v>
      </c>
      <c r="B25" s="13" t="s">
        <v>217</v>
      </c>
      <c r="C25" s="13" t="s">
        <v>108</v>
      </c>
      <c r="D25" s="18" t="n">
        <v>46349.8270744127</v>
      </c>
      <c r="E25" s="19" t="n">
        <v>650</v>
      </c>
      <c r="F25" s="17" t="n">
        <f aca="false">IF(OR(B25="",D25=""),"",IFERROR((D25-INDEX(Requests!$K$2:$K$301,MATCH(B25,Requests!$A$2:$A$301,0)))*24,""))</f>
        <v>1.09978590533111</v>
      </c>
      <c r="G25" s="15" t="str">
        <f aca="false">IF(F25="","",IF(F25&lt;=24,"Y","N"))</f>
        <v>Y</v>
      </c>
      <c r="H25" s="13" t="s">
        <v>288</v>
      </c>
      <c r="I25" s="15" t="n">
        <f aca="false">IF(D25="","",INT((D25-Settings!$B$2)/7)+1)</f>
        <v>4</v>
      </c>
      <c r="J25" s="8"/>
      <c r="K25" s="8"/>
    </row>
    <row r="26" customFormat="false" ht="15" hidden="false" customHeight="false" outlineLevel="0" collapsed="false">
      <c r="A26" s="13" t="s">
        <v>310</v>
      </c>
      <c r="B26" s="13" t="s">
        <v>217</v>
      </c>
      <c r="C26" s="13" t="s">
        <v>102</v>
      </c>
      <c r="D26" s="18" t="n">
        <v>46350.1061045782</v>
      </c>
      <c r="E26" s="19" t="n">
        <v>380</v>
      </c>
      <c r="F26" s="17" t="n">
        <f aca="false">IF(OR(B26="",D26=""),"",IFERROR((D26-INDEX(Requests!$K$2:$K$301,MATCH(B26,Requests!$A$2:$A$301,0)))*24,""))</f>
        <v>7.79650987673083</v>
      </c>
      <c r="G26" s="15" t="str">
        <f aca="false">IF(F26="","",IF(F26&lt;=24,"Y","N"))</f>
        <v>Y</v>
      </c>
      <c r="H26" s="13" t="s">
        <v>288</v>
      </c>
      <c r="I26" s="15" t="n">
        <f aca="false">IF(D26="","",INT((D26-Settings!$B$2)/7)+1)</f>
        <v>4</v>
      </c>
      <c r="J26" s="8"/>
      <c r="K26" s="8"/>
    </row>
    <row r="27" customFormat="false" ht="15" hidden="false" customHeight="false" outlineLevel="0" collapsed="false">
      <c r="A27" s="13" t="s">
        <v>311</v>
      </c>
      <c r="B27" s="13" t="s">
        <v>225</v>
      </c>
      <c r="C27" s="13" t="s">
        <v>112</v>
      </c>
      <c r="D27" s="18" t="n">
        <v>46353.8765785465</v>
      </c>
      <c r="E27" s="19" t="n">
        <v>250</v>
      </c>
      <c r="F27" s="17" t="n">
        <f aca="false">IF(OR(B27="",D27=""),"",IFERROR((D27-INDEX(Requests!$K$2:$K$301,MATCH(B27,Requests!$A$2:$A$301,0)))*24,""))</f>
        <v>8.03788511641306</v>
      </c>
      <c r="G27" s="15" t="str">
        <f aca="false">IF(F27="","",IF(F27&lt;=24,"Y","N"))</f>
        <v>Y</v>
      </c>
      <c r="H27" s="13" t="s">
        <v>296</v>
      </c>
      <c r="I27" s="15" t="n">
        <f aca="false">IF(D27="","",INT((D27-Settings!$B$2)/7)+1)</f>
        <v>4</v>
      </c>
      <c r="J27" s="8"/>
      <c r="K27" s="8"/>
    </row>
    <row r="28" customFormat="false" ht="15" hidden="false" customHeight="false" outlineLevel="0" collapsed="false">
      <c r="A28" s="13" t="s">
        <v>312</v>
      </c>
      <c r="B28" s="13" t="s">
        <v>229</v>
      </c>
      <c r="C28" s="13" t="s">
        <v>105</v>
      </c>
      <c r="D28" s="18" t="n">
        <v>46353.8373761168</v>
      </c>
      <c r="E28" s="19" t="n">
        <v>900</v>
      </c>
      <c r="F28" s="17" t="n">
        <f aca="false">IF(OR(B28="",D28=""),"",IFERROR((D28-INDEX(Requests!$K$2:$K$301,MATCH(B28,Requests!$A$2:$A$301,0)))*24,""))</f>
        <v>6.84702680219194</v>
      </c>
      <c r="G28" s="15" t="str">
        <f aca="false">IF(F28="","",IF(F28&lt;=24,"Y","N"))</f>
        <v>Y</v>
      </c>
      <c r="H28" s="13" t="s">
        <v>283</v>
      </c>
      <c r="I28" s="15" t="n">
        <f aca="false">IF(D28="","",INT((D28-Settings!$B$2)/7)+1)</f>
        <v>4</v>
      </c>
      <c r="J28" s="8"/>
      <c r="K28" s="8"/>
    </row>
    <row r="29" customFormat="false" ht="15" hidden="false" customHeight="false" outlineLevel="0" collapsed="false">
      <c r="A29" s="13" t="s">
        <v>313</v>
      </c>
      <c r="B29" s="13" t="s">
        <v>229</v>
      </c>
      <c r="C29" s="13" t="s">
        <v>98</v>
      </c>
      <c r="D29" s="18" t="n">
        <v>46353.7031210032</v>
      </c>
      <c r="E29" s="19" t="n">
        <v>150</v>
      </c>
      <c r="F29" s="17" t="n">
        <f aca="false">IF(OR(B29="",D29=""),"",IFERROR((D29-INDEX(Requests!$K$2:$K$301,MATCH(B29,Requests!$A$2:$A$301,0)))*24,""))</f>
        <v>3.62490407726722</v>
      </c>
      <c r="G29" s="15" t="str">
        <f aca="false">IF(F29="","",IF(F29&lt;=24,"Y","N"))</f>
        <v>Y</v>
      </c>
      <c r="H29" s="13" t="s">
        <v>283</v>
      </c>
      <c r="I29" s="15" t="n">
        <f aca="false">IF(D29="","",INT((D29-Settings!$B$2)/7)+1)</f>
        <v>4</v>
      </c>
      <c r="J29" s="8"/>
      <c r="K29" s="8"/>
    </row>
    <row r="30" customFormat="false" ht="15" hidden="false" customHeight="false" outlineLevel="0" collapsed="false">
      <c r="A30" s="13" t="s">
        <v>314</v>
      </c>
      <c r="B30" s="13" t="s">
        <v>229</v>
      </c>
      <c r="C30" s="13" t="s">
        <v>108</v>
      </c>
      <c r="D30" s="18" t="n">
        <v>46353.7566537802</v>
      </c>
      <c r="E30" s="19" t="n">
        <v>900</v>
      </c>
      <c r="F30" s="17" t="n">
        <f aca="false">IF(OR(B30="",D30=""),"",IFERROR((D30-INDEX(Requests!$K$2:$K$301,MATCH(B30,Requests!$A$2:$A$301,0)))*24,""))</f>
        <v>4.90969072520945</v>
      </c>
      <c r="G30" s="15" t="str">
        <f aca="false">IF(F30="","",IF(F30&lt;=24,"Y","N"))</f>
        <v>Y</v>
      </c>
      <c r="H30" s="13" t="s">
        <v>296</v>
      </c>
      <c r="I30" s="15" t="n">
        <f aca="false">IF(D30="","",INT((D30-Settings!$B$2)/7)+1)</f>
        <v>4</v>
      </c>
      <c r="J30" s="8"/>
      <c r="K30" s="8"/>
    </row>
    <row r="31" customFormat="false" ht="15" hidden="false" customHeight="false" outlineLevel="0" collapsed="false">
      <c r="A31" s="13" t="s">
        <v>315</v>
      </c>
      <c r="B31" s="13" t="s">
        <v>233</v>
      </c>
      <c r="C31" s="13" t="s">
        <v>95</v>
      </c>
      <c r="D31" s="18" t="n">
        <v>46355.0322817908</v>
      </c>
      <c r="E31" s="19" t="n">
        <v>380</v>
      </c>
      <c r="F31" s="17" t="n">
        <f aca="false">IF(OR(B31="",D31=""),"",IFERROR((D31-INDEX(Requests!$K$2:$K$301,MATCH(B31,Requests!$A$2:$A$301,0)))*24,""))</f>
        <v>2.77476298017417</v>
      </c>
      <c r="G31" s="15" t="str">
        <f aca="false">IF(F31="","",IF(F31&lt;=24,"Y","N"))</f>
        <v>Y</v>
      </c>
      <c r="H31" s="13" t="s">
        <v>288</v>
      </c>
      <c r="I31" s="15" t="n">
        <f aca="false">IF(D31="","",INT((D31-Settings!$B$2)/7)+1)</f>
        <v>4</v>
      </c>
      <c r="J31" s="8"/>
      <c r="K31" s="8"/>
    </row>
    <row r="32" customFormat="false" ht="15" hidden="false" customHeight="false" outlineLevel="0" collapsed="false">
      <c r="A32" s="13" t="s">
        <v>316</v>
      </c>
      <c r="B32" s="13" t="s">
        <v>233</v>
      </c>
      <c r="C32" s="13" t="s">
        <v>102</v>
      </c>
      <c r="D32" s="18" t="n">
        <v>46355.1604253237</v>
      </c>
      <c r="E32" s="19" t="n">
        <v>150</v>
      </c>
      <c r="F32" s="17" t="n">
        <f aca="false">IF(OR(B32="",D32=""),"",IFERROR((D32-INDEX(Requests!$K$2:$K$301,MATCH(B32,Requests!$A$2:$A$301,0)))*24,""))</f>
        <v>5.85020776942833</v>
      </c>
      <c r="G32" s="15" t="str">
        <f aca="false">IF(F32="","",IF(F32&lt;=24,"Y","N"))</f>
        <v>Y</v>
      </c>
      <c r="H32" s="13" t="s">
        <v>296</v>
      </c>
      <c r="I32" s="15" t="n">
        <f aca="false">IF(D32="","",INT((D32-Settings!$B$2)/7)+1)</f>
        <v>4</v>
      </c>
      <c r="J32" s="8"/>
      <c r="K32" s="8"/>
    </row>
    <row r="33" customFormat="false" ht="15" hidden="false" customHeight="false" outlineLevel="0" collapsed="false">
      <c r="A33" s="13" t="s">
        <v>317</v>
      </c>
      <c r="B33" s="13" t="s">
        <v>233</v>
      </c>
      <c r="C33" s="13" t="s">
        <v>108</v>
      </c>
      <c r="D33" s="18" t="n">
        <v>46355.3140617242</v>
      </c>
      <c r="E33" s="19" t="n">
        <v>650</v>
      </c>
      <c r="F33" s="17" t="n">
        <f aca="false">IF(OR(B33="",D33=""),"",IFERROR((D33-INDEX(Requests!$K$2:$K$301,MATCH(B33,Requests!$A$2:$A$301,0)))*24,""))</f>
        <v>9.53748138074278</v>
      </c>
      <c r="G33" s="15" t="str">
        <f aca="false">IF(F33="","",IF(F33&lt;=24,"Y","N"))</f>
        <v>Y</v>
      </c>
      <c r="H33" s="13" t="s">
        <v>288</v>
      </c>
      <c r="I33" s="15" t="n">
        <f aca="false">IF(D33="","",INT((D33-Settings!$B$2)/7)+1)</f>
        <v>4</v>
      </c>
      <c r="J33" s="8"/>
      <c r="K33" s="8"/>
    </row>
    <row r="34" customFormat="false" ht="15" hidden="false" customHeight="false" outlineLevel="0" collapsed="false">
      <c r="A34" s="13" t="s">
        <v>318</v>
      </c>
      <c r="B34" s="13" t="s">
        <v>233</v>
      </c>
      <c r="C34" s="13" t="s">
        <v>105</v>
      </c>
      <c r="D34" s="18" t="n">
        <v>46355.1872248873</v>
      </c>
      <c r="E34" s="19" t="n">
        <v>380</v>
      </c>
      <c r="F34" s="17" t="n">
        <f aca="false">IF(OR(B34="",D34=""),"",IFERROR((D34-INDEX(Requests!$K$2:$K$301,MATCH(B34,Requests!$A$2:$A$301,0)))*24,""))</f>
        <v>6.49339729448528</v>
      </c>
      <c r="G34" s="15" t="str">
        <f aca="false">IF(F34="","",IF(F34&lt;=24,"Y","N"))</f>
        <v>Y</v>
      </c>
      <c r="H34" s="13" t="s">
        <v>283</v>
      </c>
      <c r="I34" s="15" t="n">
        <f aca="false">IF(D34="","",INT((D34-Settings!$B$2)/7)+1)</f>
        <v>4</v>
      </c>
      <c r="J34" s="8"/>
      <c r="K34" s="8"/>
    </row>
    <row r="35" customFormat="false" ht="15" hidden="false" customHeight="false" outlineLevel="0" collapsed="false">
      <c r="A35" s="13" t="s">
        <v>319</v>
      </c>
      <c r="B35" s="13" t="s">
        <v>241</v>
      </c>
      <c r="C35" s="13" t="s">
        <v>92</v>
      </c>
      <c r="D35" s="18" t="n">
        <v>46357.8866918849</v>
      </c>
      <c r="E35" s="19" t="n">
        <v>560</v>
      </c>
      <c r="F35" s="17" t="n">
        <f aca="false">IF(OR(B35="",D35=""),"",IFERROR((D35-INDEX(Requests!$K$2:$K$301,MATCH(B35,Requests!$A$2:$A$301,0)))*24,""))</f>
        <v>2.28060523804722</v>
      </c>
      <c r="G35" s="15" t="str">
        <f aca="false">IF(F35="","",IF(F35&lt;=24,"Y","N"))</f>
        <v>Y</v>
      </c>
      <c r="H35" s="13" t="s">
        <v>286</v>
      </c>
      <c r="I35" s="15" t="n">
        <f aca="false">IF(D35="","",INT((D35-Settings!$B$2)/7)+1)</f>
        <v>5</v>
      </c>
      <c r="J35" s="8"/>
      <c r="K35" s="8"/>
    </row>
    <row r="36" customFormat="false" ht="15" hidden="false" customHeight="false" outlineLevel="0" collapsed="false">
      <c r="A36" s="13" t="s">
        <v>320</v>
      </c>
      <c r="B36" s="13" t="s">
        <v>245</v>
      </c>
      <c r="C36" s="13" t="s">
        <v>102</v>
      </c>
      <c r="D36" s="18" t="n">
        <v>46358.97879854</v>
      </c>
      <c r="E36" s="19" t="n">
        <v>380</v>
      </c>
      <c r="F36" s="17" t="n">
        <f aca="false">IF(OR(B36="",D36=""),"",IFERROR((D36-INDEX(Requests!$K$2:$K$301,MATCH(B36,Requests!$A$2:$A$301,0)))*24,""))</f>
        <v>5.99116496101472</v>
      </c>
      <c r="G36" s="15" t="str">
        <f aca="false">IF(F36="","",IF(F36&lt;=24,"Y","N"))</f>
        <v>Y</v>
      </c>
      <c r="H36" s="13" t="s">
        <v>296</v>
      </c>
      <c r="I36" s="15" t="n">
        <f aca="false">IF(D36="","",INT((D36-Settings!$B$2)/7)+1)</f>
        <v>5</v>
      </c>
      <c r="J36" s="8"/>
      <c r="K36" s="8"/>
    </row>
    <row r="37" customFormat="false" ht="15" hidden="false" customHeight="false" outlineLevel="0" collapsed="false">
      <c r="A37" s="13" t="s">
        <v>321</v>
      </c>
      <c r="B37" s="13" t="s">
        <v>245</v>
      </c>
      <c r="C37" s="13" t="s">
        <v>95</v>
      </c>
      <c r="D37" s="18" t="n">
        <v>46358.9213002308</v>
      </c>
      <c r="E37" s="19" t="n">
        <v>380</v>
      </c>
      <c r="F37" s="17" t="n">
        <f aca="false">IF(OR(B37="",D37=""),"",IFERROR((D37-INDEX(Requests!$K$2:$K$301,MATCH(B37,Requests!$A$2:$A$301,0)))*24,""))</f>
        <v>4.61120553984056</v>
      </c>
      <c r="G37" s="15" t="str">
        <f aca="false">IF(F37="","",IF(F37&lt;=24,"Y","N"))</f>
        <v>Y</v>
      </c>
      <c r="H37" s="13" t="s">
        <v>283</v>
      </c>
      <c r="I37" s="15" t="n">
        <f aca="false">IF(D37="","",INT((D37-Settings!$B$2)/7)+1)</f>
        <v>5</v>
      </c>
      <c r="J37" s="8"/>
      <c r="K37" s="8"/>
    </row>
    <row r="38" customFormat="false" ht="15" hidden="false" customHeight="false" outlineLevel="0" collapsed="false">
      <c r="A38" s="13" t="s">
        <v>322</v>
      </c>
      <c r="B38" s="13" t="s">
        <v>245</v>
      </c>
      <c r="C38" s="13" t="s">
        <v>98</v>
      </c>
      <c r="D38" s="18" t="n">
        <v>46358.8483373377</v>
      </c>
      <c r="E38" s="19" t="n">
        <v>220</v>
      </c>
      <c r="F38" s="17" t="n">
        <f aca="false">IF(OR(B38="",D38=""),"",IFERROR((D38-INDEX(Requests!$K$2:$K$301,MATCH(B38,Requests!$A$2:$A$301,0)))*24,""))</f>
        <v>2.86009610473389</v>
      </c>
      <c r="G38" s="15" t="str">
        <f aca="false">IF(F38="","",IF(F38&lt;=24,"Y","N"))</f>
        <v>Y</v>
      </c>
      <c r="H38" s="13" t="s">
        <v>288</v>
      </c>
      <c r="I38" s="15" t="n">
        <f aca="false">IF(D38="","",INT((D38-Settings!$B$2)/7)+1)</f>
        <v>5</v>
      </c>
      <c r="J38" s="8"/>
      <c r="K38" s="8"/>
    </row>
    <row r="39" customFormat="false" ht="15" hidden="false" customHeight="false" outlineLevel="0" collapsed="false">
      <c r="A39" s="13" t="s">
        <v>323</v>
      </c>
      <c r="B39" s="13" t="s">
        <v>245</v>
      </c>
      <c r="C39" s="13" t="s">
        <v>108</v>
      </c>
      <c r="D39" s="18" t="n">
        <v>46359.045203962</v>
      </c>
      <c r="E39" s="19" t="n">
        <v>150</v>
      </c>
      <c r="F39" s="17" t="n">
        <f aca="false">IF(OR(B39="",D39=""),"",IFERROR((D39-INDEX(Requests!$K$2:$K$301,MATCH(B39,Requests!$A$2:$A$301,0)))*24,""))</f>
        <v>7.58489508839556</v>
      </c>
      <c r="G39" s="15" t="str">
        <f aca="false">IF(F39="","",IF(F39&lt;=24,"Y","N"))</f>
        <v>Y</v>
      </c>
      <c r="H39" s="13" t="s">
        <v>296</v>
      </c>
      <c r="I39" s="15" t="n">
        <f aca="false">IF(D39="","",INT((D39-Settings!$B$2)/7)+1)</f>
        <v>5</v>
      </c>
      <c r="J39" s="8"/>
      <c r="K39" s="8"/>
    </row>
    <row r="40" customFormat="false" ht="15" hidden="false" customHeight="false" outlineLevel="0" collapsed="false">
      <c r="A40" s="13" t="s">
        <v>324</v>
      </c>
      <c r="B40" s="13" t="s">
        <v>249</v>
      </c>
      <c r="C40" s="13" t="s">
        <v>87</v>
      </c>
      <c r="D40" s="18" t="n">
        <v>46362.2045817598</v>
      </c>
      <c r="E40" s="19" t="n">
        <v>480</v>
      </c>
      <c r="F40" s="17" t="n">
        <f aca="false">IF(OR(B40="",D40=""),"",IFERROR((D40-INDEX(Requests!$K$2:$K$301,MATCH(B40,Requests!$A$2:$A$301,0)))*24,""))</f>
        <v>9.90996223571695</v>
      </c>
      <c r="G40" s="15" t="str">
        <f aca="false">IF(F40="","",IF(F40&lt;=24,"Y","N"))</f>
        <v>Y</v>
      </c>
      <c r="H40" s="13" t="s">
        <v>286</v>
      </c>
      <c r="I40" s="15" t="n">
        <f aca="false">IF(D40="","",INT((D40-Settings!$B$2)/7)+1)</f>
        <v>5</v>
      </c>
      <c r="J40" s="8"/>
      <c r="K40" s="8"/>
    </row>
    <row r="41" customFormat="false" ht="15" hidden="false" customHeight="false" outlineLevel="0" collapsed="false">
      <c r="A41" s="13" t="s">
        <v>325</v>
      </c>
      <c r="B41" s="13" t="s">
        <v>249</v>
      </c>
      <c r="C41" s="13" t="s">
        <v>83</v>
      </c>
      <c r="D41" s="18" t="n">
        <v>46363.2353364789</v>
      </c>
      <c r="E41" s="19" t="n">
        <v>440</v>
      </c>
      <c r="F41" s="17" t="n">
        <f aca="false">IF(OR(B41="",D41=""),"",IFERROR((D41-INDEX(Requests!$K$2:$K$301,MATCH(B41,Requests!$A$2:$A$301,0)))*24,""))</f>
        <v>34.6480754947406</v>
      </c>
      <c r="G41" s="15" t="str">
        <f aca="false">IF(F41="","",IF(F41&lt;=24,"Y","N"))</f>
        <v>N</v>
      </c>
      <c r="H41" s="13" t="s">
        <v>286</v>
      </c>
      <c r="I41" s="15" t="n">
        <f aca="false">IF(D41="","",INT((D41-Settings!$B$2)/7)+1)</f>
        <v>6</v>
      </c>
      <c r="J41" s="8"/>
      <c r="K41" s="8"/>
    </row>
    <row r="42" customFormat="false" ht="15" hidden="false" customHeight="false" outlineLevel="0" collapsed="false">
      <c r="A42" s="13" t="s">
        <v>326</v>
      </c>
      <c r="B42" s="13" t="s">
        <v>257</v>
      </c>
      <c r="C42" s="13" t="s">
        <v>108</v>
      </c>
      <c r="D42" s="18" t="n">
        <v>46362.8290493753</v>
      </c>
      <c r="E42" s="19" t="n">
        <v>650</v>
      </c>
      <c r="F42" s="17" t="n">
        <f aca="false">IF(OR(B42="",D42=""),"",IFERROR((D42-INDEX(Requests!$K$2:$K$301,MATCH(B42,Requests!$A$2:$A$301,0)))*24,""))</f>
        <v>3.89718500711</v>
      </c>
      <c r="G42" s="15" t="str">
        <f aca="false">IF(F42="","",IF(F42&lt;=24,"Y","N"))</f>
        <v>Y</v>
      </c>
      <c r="H42" s="13" t="s">
        <v>288</v>
      </c>
      <c r="I42" s="15" t="n">
        <f aca="false">IF(D42="","",INT((D42-Settings!$B$2)/7)+1)</f>
        <v>5</v>
      </c>
      <c r="J42" s="8"/>
      <c r="K42" s="8"/>
    </row>
    <row r="43" customFormat="false" ht="15" hidden="false" customHeight="false" outlineLevel="0" collapsed="false">
      <c r="A43" s="13" t="s">
        <v>327</v>
      </c>
      <c r="B43" s="13" t="s">
        <v>257</v>
      </c>
      <c r="C43" s="13" t="s">
        <v>98</v>
      </c>
      <c r="D43" s="18" t="n">
        <v>46362.9086363442</v>
      </c>
      <c r="E43" s="19" t="n">
        <v>150</v>
      </c>
      <c r="F43" s="17" t="n">
        <f aca="false">IF(OR(B43="",D43=""),"",IFERROR((D43-INDEX(Requests!$K$2:$K$301,MATCH(B43,Requests!$A$2:$A$301,0)))*24,""))</f>
        <v>5.8072722599025</v>
      </c>
      <c r="G43" s="15" t="str">
        <f aca="false">IF(F43="","",IF(F43&lt;=24,"Y","N"))</f>
        <v>Y</v>
      </c>
      <c r="H43" s="13" t="s">
        <v>296</v>
      </c>
      <c r="I43" s="15" t="n">
        <f aca="false">IF(D43="","",INT((D43-Settings!$B$2)/7)+1)</f>
        <v>5</v>
      </c>
      <c r="J43" s="8"/>
      <c r="K43" s="8"/>
    </row>
    <row r="44" customFormat="false" ht="15" hidden="false" customHeight="false" outlineLevel="0" collapsed="false">
      <c r="A44" s="13" t="s">
        <v>328</v>
      </c>
      <c r="B44" s="13" t="s">
        <v>265</v>
      </c>
      <c r="C44" s="13" t="s">
        <v>92</v>
      </c>
      <c r="D44" s="18" t="n">
        <v>46366.8763875604</v>
      </c>
      <c r="E44" s="19" t="n">
        <v>560</v>
      </c>
      <c r="F44" s="17" t="n">
        <f aca="false">IF(OR(B44="",D44=""),"",IFERROR((D44-INDEX(Requests!$K$2:$K$301,MATCH(B44,Requests!$A$2:$A$301,0)))*24,""))</f>
        <v>1.28330145083583</v>
      </c>
      <c r="G44" s="15" t="str">
        <f aca="false">IF(F44="","",IF(F44&lt;=24,"Y","N"))</f>
        <v>Y</v>
      </c>
      <c r="H44" s="13" t="s">
        <v>286</v>
      </c>
      <c r="I44" s="15" t="n">
        <f aca="false">IF(D44="","",INT((D44-Settings!$B$2)/7)+1)</f>
        <v>6</v>
      </c>
      <c r="J44" s="8"/>
      <c r="K44" s="8"/>
    </row>
    <row r="45" customFormat="false" ht="15" hidden="false" customHeight="false" outlineLevel="0" collapsed="false">
      <c r="A45" s="13" t="s">
        <v>329</v>
      </c>
      <c r="B45" s="13" t="s">
        <v>265</v>
      </c>
      <c r="C45" s="13" t="s">
        <v>87</v>
      </c>
      <c r="D45" s="18" t="n">
        <v>46367.9431156903</v>
      </c>
      <c r="E45" s="19" t="n">
        <v>440</v>
      </c>
      <c r="F45" s="17" t="n">
        <f aca="false">IF(OR(B45="",D45=""),"",IFERROR((D45-INDEX(Requests!$K$2:$K$301,MATCH(B45,Requests!$A$2:$A$301,0)))*24,""))</f>
        <v>26.8847765664103</v>
      </c>
      <c r="G45" s="15" t="str">
        <f aca="false">IF(F45="","",IF(F45&lt;=24,"Y","N"))</f>
        <v>N</v>
      </c>
      <c r="H45" s="13" t="s">
        <v>286</v>
      </c>
      <c r="I45" s="15" t="n">
        <f aca="false">IF(D45="","",INT((D45-Settings!$B$2)/7)+1)</f>
        <v>6</v>
      </c>
      <c r="J45" s="8"/>
      <c r="K45" s="8"/>
    </row>
    <row r="46" customFormat="false" ht="15" hidden="false" customHeight="false" outlineLevel="0" collapsed="false">
      <c r="A46" s="13" t="s">
        <v>330</v>
      </c>
      <c r="B46" s="13" t="s">
        <v>265</v>
      </c>
      <c r="C46" s="13" t="s">
        <v>77</v>
      </c>
      <c r="D46" s="18" t="n">
        <v>46367.2441980171</v>
      </c>
      <c r="E46" s="19" t="n">
        <v>480</v>
      </c>
      <c r="F46" s="17" t="n">
        <f aca="false">IF(OR(B46="",D46=""),"",IFERROR((D46-INDEX(Requests!$K$2:$K$301,MATCH(B46,Requests!$A$2:$A$301,0)))*24,""))</f>
        <v>10.1107524109536</v>
      </c>
      <c r="G46" s="15" t="str">
        <f aca="false">IF(F46="","",IF(F46&lt;=24,"Y","N"))</f>
        <v>Y</v>
      </c>
      <c r="H46" s="13" t="s">
        <v>286</v>
      </c>
      <c r="I46" s="15" t="n">
        <f aca="false">IF(D46="","",INT((D46-Settings!$B$2)/7)+1)</f>
        <v>6</v>
      </c>
      <c r="J46" s="8"/>
      <c r="K46" s="8"/>
    </row>
    <row r="47" customFormat="false" ht="15" hidden="false" customHeight="false" outlineLevel="0" collapsed="false">
      <c r="A47" s="13" t="s">
        <v>331</v>
      </c>
      <c r="B47" s="13" t="s">
        <v>265</v>
      </c>
      <c r="C47" s="13" t="s">
        <v>70</v>
      </c>
      <c r="D47" s="18" t="n">
        <v>46367.1687421061</v>
      </c>
      <c r="E47" s="19" t="n">
        <v>520</v>
      </c>
      <c r="F47" s="17" t="n">
        <f aca="false">IF(OR(B47="",D47=""),"",IFERROR((D47-INDEX(Requests!$K$2:$K$301,MATCH(B47,Requests!$A$2:$A$301,0)))*24,""))</f>
        <v>8.29981054679944</v>
      </c>
      <c r="G47" s="15" t="str">
        <f aca="false">IF(F47="","",IF(F47&lt;=24,"Y","N"))</f>
        <v>Y</v>
      </c>
      <c r="H47" s="13" t="s">
        <v>286</v>
      </c>
      <c r="I47" s="15" t="n">
        <f aca="false">IF(D47="","",INT((D47-Settings!$B$2)/7)+1)</f>
        <v>6</v>
      </c>
      <c r="J47" s="8"/>
      <c r="K47" s="8"/>
    </row>
    <row r="48" customFormat="false" ht="15" hidden="false" customHeight="false" outlineLevel="0" collapsed="false">
      <c r="A48" s="13"/>
      <c r="B48" s="13"/>
      <c r="C48" s="13"/>
      <c r="D48" s="18"/>
      <c r="E48" s="19"/>
      <c r="F48" s="17" t="str">
        <f aca="false">IF(OR(B48="",D48=""),"",IFERROR((D48-INDEX(Requests!$K$2:$K$301,MATCH(B48,Requests!$A$2:$A$301,0)))*24,""))</f>
        <v/>
      </c>
      <c r="G48" s="15" t="str">
        <f aca="false">IF(F48="","",IF(F48&lt;=24,"Y","N"))</f>
        <v/>
      </c>
      <c r="H48" s="13"/>
      <c r="I48" s="15" t="str">
        <f aca="false">IF(D48="","",INT((D48-Settings!$B$2)/7)+1)</f>
        <v/>
      </c>
      <c r="J48" s="8"/>
      <c r="K48" s="8"/>
    </row>
    <row r="49" customFormat="false" ht="15" hidden="false" customHeight="false" outlineLevel="0" collapsed="false">
      <c r="A49" s="13"/>
      <c r="B49" s="13"/>
      <c r="C49" s="13"/>
      <c r="D49" s="18"/>
      <c r="E49" s="19"/>
      <c r="F49" s="17" t="str">
        <f aca="false">IF(OR(B49="",D49=""),"",IFERROR((D49-INDEX(Requests!$K$2:$K$301,MATCH(B49,Requests!$A$2:$A$301,0)))*24,""))</f>
        <v/>
      </c>
      <c r="G49" s="15" t="str">
        <f aca="false">IF(F49="","",IF(F49&lt;=24,"Y","N"))</f>
        <v/>
      </c>
      <c r="H49" s="13"/>
      <c r="I49" s="15" t="str">
        <f aca="false">IF(D49="","",INT((D49-Settings!$B$2)/7)+1)</f>
        <v/>
      </c>
      <c r="J49" s="8"/>
      <c r="K49" s="8"/>
    </row>
    <row r="50" customFormat="false" ht="15" hidden="false" customHeight="false" outlineLevel="0" collapsed="false">
      <c r="A50" s="13"/>
      <c r="B50" s="13"/>
      <c r="C50" s="13"/>
      <c r="D50" s="18"/>
      <c r="E50" s="19"/>
      <c r="F50" s="17" t="str">
        <f aca="false">IF(OR(B50="",D50=""),"",IFERROR((D50-INDEX(Requests!$K$2:$K$301,MATCH(B50,Requests!$A$2:$A$301,0)))*24,""))</f>
        <v/>
      </c>
      <c r="G50" s="15" t="str">
        <f aca="false">IF(F50="","",IF(F50&lt;=24,"Y","N"))</f>
        <v/>
      </c>
      <c r="H50" s="13"/>
      <c r="I50" s="15" t="str">
        <f aca="false">IF(D50="","",INT((D50-Settings!$B$2)/7)+1)</f>
        <v/>
      </c>
      <c r="J50" s="8"/>
      <c r="K50" s="8"/>
    </row>
    <row r="51" customFormat="false" ht="15" hidden="false" customHeight="false" outlineLevel="0" collapsed="false">
      <c r="A51" s="13"/>
      <c r="B51" s="13"/>
      <c r="C51" s="13"/>
      <c r="D51" s="18"/>
      <c r="E51" s="19"/>
      <c r="F51" s="17" t="str">
        <f aca="false">IF(OR(B51="",D51=""),"",IFERROR((D51-INDEX(Requests!$K$2:$K$301,MATCH(B51,Requests!$A$2:$A$301,0)))*24,""))</f>
        <v/>
      </c>
      <c r="G51" s="15" t="str">
        <f aca="false">IF(F51="","",IF(F51&lt;=24,"Y","N"))</f>
        <v/>
      </c>
      <c r="H51" s="13"/>
      <c r="I51" s="15" t="str">
        <f aca="false">IF(D51="","",INT((D51-Settings!$B$2)/7)+1)</f>
        <v/>
      </c>
      <c r="J51" s="8"/>
      <c r="K51" s="8"/>
    </row>
    <row r="52" customFormat="false" ht="15" hidden="false" customHeight="false" outlineLevel="0" collapsed="false">
      <c r="A52" s="13"/>
      <c r="B52" s="13"/>
      <c r="C52" s="13"/>
      <c r="D52" s="18"/>
      <c r="E52" s="19"/>
      <c r="F52" s="17" t="str">
        <f aca="false">IF(OR(B52="",D52=""),"",IFERROR((D52-INDEX(Requests!$K$2:$K$301,MATCH(B52,Requests!$A$2:$A$301,0)))*24,""))</f>
        <v/>
      </c>
      <c r="G52" s="15" t="str">
        <f aca="false">IF(F52="","",IF(F52&lt;=24,"Y","N"))</f>
        <v/>
      </c>
      <c r="H52" s="13"/>
      <c r="I52" s="15" t="str">
        <f aca="false">IF(D52="","",INT((D52-Settings!$B$2)/7)+1)</f>
        <v/>
      </c>
      <c r="J52" s="8"/>
      <c r="K52" s="8"/>
    </row>
    <row r="53" customFormat="false" ht="15" hidden="false" customHeight="false" outlineLevel="0" collapsed="false">
      <c r="A53" s="13"/>
      <c r="B53" s="13"/>
      <c r="C53" s="13"/>
      <c r="D53" s="18"/>
      <c r="E53" s="19"/>
      <c r="F53" s="17" t="str">
        <f aca="false">IF(OR(B53="",D53=""),"",IFERROR((D53-INDEX(Requests!$K$2:$K$301,MATCH(B53,Requests!$A$2:$A$301,0)))*24,""))</f>
        <v/>
      </c>
      <c r="G53" s="15" t="str">
        <f aca="false">IF(F53="","",IF(F53&lt;=24,"Y","N"))</f>
        <v/>
      </c>
      <c r="H53" s="13"/>
      <c r="I53" s="15" t="str">
        <f aca="false">IF(D53="","",INT((D53-Settings!$B$2)/7)+1)</f>
        <v/>
      </c>
      <c r="J53" s="8"/>
      <c r="K53" s="8"/>
    </row>
    <row r="54" customFormat="false" ht="15" hidden="false" customHeight="false" outlineLevel="0" collapsed="false">
      <c r="A54" s="13"/>
      <c r="B54" s="13"/>
      <c r="C54" s="13"/>
      <c r="D54" s="18"/>
      <c r="E54" s="19"/>
      <c r="F54" s="17" t="str">
        <f aca="false">IF(OR(B54="",D54=""),"",IFERROR((D54-INDEX(Requests!$K$2:$K$301,MATCH(B54,Requests!$A$2:$A$301,0)))*24,""))</f>
        <v/>
      </c>
      <c r="G54" s="15" t="str">
        <f aca="false">IF(F54="","",IF(F54&lt;=24,"Y","N"))</f>
        <v/>
      </c>
      <c r="H54" s="13"/>
      <c r="I54" s="15" t="str">
        <f aca="false">IF(D54="","",INT((D54-Settings!$B$2)/7)+1)</f>
        <v/>
      </c>
      <c r="J54" s="8"/>
      <c r="K54" s="8"/>
    </row>
    <row r="55" customFormat="false" ht="15" hidden="false" customHeight="false" outlineLevel="0" collapsed="false">
      <c r="A55" s="13"/>
      <c r="B55" s="13"/>
      <c r="C55" s="13"/>
      <c r="D55" s="18"/>
      <c r="E55" s="19"/>
      <c r="F55" s="17" t="str">
        <f aca="false">IF(OR(B55="",D55=""),"",IFERROR((D55-INDEX(Requests!$K$2:$K$301,MATCH(B55,Requests!$A$2:$A$301,0)))*24,""))</f>
        <v/>
      </c>
      <c r="G55" s="15" t="str">
        <f aca="false">IF(F55="","",IF(F55&lt;=24,"Y","N"))</f>
        <v/>
      </c>
      <c r="H55" s="13"/>
      <c r="I55" s="15" t="str">
        <f aca="false">IF(D55="","",INT((D55-Settings!$B$2)/7)+1)</f>
        <v/>
      </c>
      <c r="J55" s="8"/>
      <c r="K55" s="8"/>
    </row>
    <row r="56" customFormat="false" ht="15" hidden="false" customHeight="false" outlineLevel="0" collapsed="false">
      <c r="A56" s="13"/>
      <c r="B56" s="13"/>
      <c r="C56" s="13"/>
      <c r="D56" s="18"/>
      <c r="E56" s="19"/>
      <c r="F56" s="17" t="str">
        <f aca="false">IF(OR(B56="",D56=""),"",IFERROR((D56-INDEX(Requests!$K$2:$K$301,MATCH(B56,Requests!$A$2:$A$301,0)))*24,""))</f>
        <v/>
      </c>
      <c r="G56" s="15" t="str">
        <f aca="false">IF(F56="","",IF(F56&lt;=24,"Y","N"))</f>
        <v/>
      </c>
      <c r="H56" s="13"/>
      <c r="I56" s="15" t="str">
        <f aca="false">IF(D56="","",INT((D56-Settings!$B$2)/7)+1)</f>
        <v/>
      </c>
      <c r="J56" s="8"/>
      <c r="K56" s="8"/>
    </row>
    <row r="57" customFormat="false" ht="15" hidden="false" customHeight="false" outlineLevel="0" collapsed="false">
      <c r="A57" s="13"/>
      <c r="B57" s="13"/>
      <c r="C57" s="13"/>
      <c r="D57" s="18"/>
      <c r="E57" s="19"/>
      <c r="F57" s="17" t="str">
        <f aca="false">IF(OR(B57="",D57=""),"",IFERROR((D57-INDEX(Requests!$K$2:$K$301,MATCH(B57,Requests!$A$2:$A$301,0)))*24,""))</f>
        <v/>
      </c>
      <c r="G57" s="15" t="str">
        <f aca="false">IF(F57="","",IF(F57&lt;=24,"Y","N"))</f>
        <v/>
      </c>
      <c r="H57" s="13"/>
      <c r="I57" s="15" t="str">
        <f aca="false">IF(D57="","",INT((D57-Settings!$B$2)/7)+1)</f>
        <v/>
      </c>
      <c r="J57" s="8"/>
      <c r="K57" s="8"/>
    </row>
    <row r="58" customFormat="false" ht="15" hidden="false" customHeight="false" outlineLevel="0" collapsed="false">
      <c r="A58" s="13"/>
      <c r="B58" s="13"/>
      <c r="C58" s="13"/>
      <c r="D58" s="18"/>
      <c r="E58" s="19"/>
      <c r="F58" s="17" t="str">
        <f aca="false">IF(OR(B58="",D58=""),"",IFERROR((D58-INDEX(Requests!$K$2:$K$301,MATCH(B58,Requests!$A$2:$A$301,0)))*24,""))</f>
        <v/>
      </c>
      <c r="G58" s="15" t="str">
        <f aca="false">IF(F58="","",IF(F58&lt;=24,"Y","N"))</f>
        <v/>
      </c>
      <c r="H58" s="13"/>
      <c r="I58" s="15" t="str">
        <f aca="false">IF(D58="","",INT((D58-Settings!$B$2)/7)+1)</f>
        <v/>
      </c>
      <c r="J58" s="8"/>
      <c r="K58" s="8"/>
    </row>
    <row r="59" customFormat="false" ht="15" hidden="false" customHeight="false" outlineLevel="0" collapsed="false">
      <c r="A59" s="13"/>
      <c r="B59" s="13"/>
      <c r="C59" s="13"/>
      <c r="D59" s="18"/>
      <c r="E59" s="19"/>
      <c r="F59" s="17" t="str">
        <f aca="false">IF(OR(B59="",D59=""),"",IFERROR((D59-INDEX(Requests!$K$2:$K$301,MATCH(B59,Requests!$A$2:$A$301,0)))*24,""))</f>
        <v/>
      </c>
      <c r="G59" s="15" t="str">
        <f aca="false">IF(F59="","",IF(F59&lt;=24,"Y","N"))</f>
        <v/>
      </c>
      <c r="H59" s="13"/>
      <c r="I59" s="15" t="str">
        <f aca="false">IF(D59="","",INT((D59-Settings!$B$2)/7)+1)</f>
        <v/>
      </c>
      <c r="J59" s="8"/>
      <c r="K59" s="8"/>
    </row>
    <row r="60" customFormat="false" ht="15" hidden="false" customHeight="false" outlineLevel="0" collapsed="false">
      <c r="A60" s="13"/>
      <c r="B60" s="13"/>
      <c r="C60" s="13"/>
      <c r="D60" s="18"/>
      <c r="E60" s="19"/>
      <c r="F60" s="17" t="str">
        <f aca="false">IF(OR(B60="",D60=""),"",IFERROR((D60-INDEX(Requests!$K$2:$K$301,MATCH(B60,Requests!$A$2:$A$301,0)))*24,""))</f>
        <v/>
      </c>
      <c r="G60" s="15" t="str">
        <f aca="false">IF(F60="","",IF(F60&lt;=24,"Y","N"))</f>
        <v/>
      </c>
      <c r="H60" s="13"/>
      <c r="I60" s="15" t="str">
        <f aca="false">IF(D60="","",INT((D60-Settings!$B$2)/7)+1)</f>
        <v/>
      </c>
      <c r="J60" s="8"/>
      <c r="K60" s="8"/>
    </row>
    <row r="61" customFormat="false" ht="15" hidden="false" customHeight="false" outlineLevel="0" collapsed="false">
      <c r="A61" s="13"/>
      <c r="B61" s="13"/>
      <c r="C61" s="13"/>
      <c r="D61" s="18"/>
      <c r="E61" s="19"/>
      <c r="F61" s="17" t="str">
        <f aca="false">IF(OR(B61="",D61=""),"",IFERROR((D61-INDEX(Requests!$K$2:$K$301,MATCH(B61,Requests!$A$2:$A$301,0)))*24,""))</f>
        <v/>
      </c>
      <c r="G61" s="15" t="str">
        <f aca="false">IF(F61="","",IF(F61&lt;=24,"Y","N"))</f>
        <v/>
      </c>
      <c r="H61" s="13"/>
      <c r="I61" s="15" t="str">
        <f aca="false">IF(D61="","",INT((D61-Settings!$B$2)/7)+1)</f>
        <v/>
      </c>
      <c r="J61" s="8"/>
      <c r="K61" s="8"/>
    </row>
    <row r="62" customFormat="false" ht="15" hidden="false" customHeight="false" outlineLevel="0" collapsed="false">
      <c r="A62" s="13"/>
      <c r="B62" s="13"/>
      <c r="C62" s="13"/>
      <c r="D62" s="18"/>
      <c r="E62" s="19"/>
      <c r="F62" s="17" t="str">
        <f aca="false">IF(OR(B62="",D62=""),"",IFERROR((D62-INDEX(Requests!$K$2:$K$301,MATCH(B62,Requests!$A$2:$A$301,0)))*24,""))</f>
        <v/>
      </c>
      <c r="G62" s="15" t="str">
        <f aca="false">IF(F62="","",IF(F62&lt;=24,"Y","N"))</f>
        <v/>
      </c>
      <c r="H62" s="13"/>
      <c r="I62" s="15" t="str">
        <f aca="false">IF(D62="","",INT((D62-Settings!$B$2)/7)+1)</f>
        <v/>
      </c>
      <c r="J62" s="8"/>
      <c r="K62" s="8"/>
    </row>
    <row r="63" customFormat="false" ht="15" hidden="false" customHeight="false" outlineLevel="0" collapsed="false">
      <c r="A63" s="13"/>
      <c r="B63" s="13"/>
      <c r="C63" s="13"/>
      <c r="D63" s="18"/>
      <c r="E63" s="19"/>
      <c r="F63" s="17" t="str">
        <f aca="false">IF(OR(B63="",D63=""),"",IFERROR((D63-INDEX(Requests!$K$2:$K$301,MATCH(B63,Requests!$A$2:$A$301,0)))*24,""))</f>
        <v/>
      </c>
      <c r="G63" s="15" t="str">
        <f aca="false">IF(F63="","",IF(F63&lt;=24,"Y","N"))</f>
        <v/>
      </c>
      <c r="H63" s="13"/>
      <c r="I63" s="15" t="str">
        <f aca="false">IF(D63="","",INT((D63-Settings!$B$2)/7)+1)</f>
        <v/>
      </c>
      <c r="J63" s="8"/>
      <c r="K63" s="8"/>
    </row>
    <row r="64" customFormat="false" ht="15" hidden="false" customHeight="false" outlineLevel="0" collapsed="false">
      <c r="A64" s="13"/>
      <c r="B64" s="13"/>
      <c r="C64" s="13"/>
      <c r="D64" s="18"/>
      <c r="E64" s="19"/>
      <c r="F64" s="17" t="str">
        <f aca="false">IF(OR(B64="",D64=""),"",IFERROR((D64-INDEX(Requests!$K$2:$K$301,MATCH(B64,Requests!$A$2:$A$301,0)))*24,""))</f>
        <v/>
      </c>
      <c r="G64" s="15" t="str">
        <f aca="false">IF(F64="","",IF(F64&lt;=24,"Y","N"))</f>
        <v/>
      </c>
      <c r="H64" s="13"/>
      <c r="I64" s="15" t="str">
        <f aca="false">IF(D64="","",INT((D64-Settings!$B$2)/7)+1)</f>
        <v/>
      </c>
      <c r="J64" s="8"/>
      <c r="K64" s="8"/>
    </row>
    <row r="65" customFormat="false" ht="15" hidden="false" customHeight="false" outlineLevel="0" collapsed="false">
      <c r="A65" s="13"/>
      <c r="B65" s="13"/>
      <c r="C65" s="13"/>
      <c r="D65" s="18"/>
      <c r="E65" s="19"/>
      <c r="F65" s="17" t="str">
        <f aca="false">IF(OR(B65="",D65=""),"",IFERROR((D65-INDEX(Requests!$K$2:$K$301,MATCH(B65,Requests!$A$2:$A$301,0)))*24,""))</f>
        <v/>
      </c>
      <c r="G65" s="15" t="str">
        <f aca="false">IF(F65="","",IF(F65&lt;=24,"Y","N"))</f>
        <v/>
      </c>
      <c r="H65" s="13"/>
      <c r="I65" s="15" t="str">
        <f aca="false">IF(D65="","",INT((D65-Settings!$B$2)/7)+1)</f>
        <v/>
      </c>
      <c r="J65" s="8"/>
      <c r="K65" s="8"/>
    </row>
    <row r="66" customFormat="false" ht="15" hidden="false" customHeight="false" outlineLevel="0" collapsed="false">
      <c r="A66" s="13"/>
      <c r="B66" s="13"/>
      <c r="C66" s="13"/>
      <c r="D66" s="18"/>
      <c r="E66" s="19"/>
      <c r="F66" s="17" t="str">
        <f aca="false">IF(OR(B66="",D66=""),"",IFERROR((D66-INDEX(Requests!$K$2:$K$301,MATCH(B66,Requests!$A$2:$A$301,0)))*24,""))</f>
        <v/>
      </c>
      <c r="G66" s="15" t="str">
        <f aca="false">IF(F66="","",IF(F66&lt;=24,"Y","N"))</f>
        <v/>
      </c>
      <c r="H66" s="13"/>
      <c r="I66" s="15" t="str">
        <f aca="false">IF(D66="","",INT((D66-Settings!$B$2)/7)+1)</f>
        <v/>
      </c>
      <c r="J66" s="8"/>
      <c r="K66" s="8"/>
    </row>
    <row r="67" customFormat="false" ht="15" hidden="false" customHeight="false" outlineLevel="0" collapsed="false">
      <c r="A67" s="13"/>
      <c r="B67" s="13"/>
      <c r="C67" s="13"/>
      <c r="D67" s="18"/>
      <c r="E67" s="19"/>
      <c r="F67" s="17" t="str">
        <f aca="false">IF(OR(B67="",D67=""),"",IFERROR((D67-INDEX(Requests!$K$2:$K$301,MATCH(B67,Requests!$A$2:$A$301,0)))*24,""))</f>
        <v/>
      </c>
      <c r="G67" s="15" t="str">
        <f aca="false">IF(F67="","",IF(F67&lt;=24,"Y","N"))</f>
        <v/>
      </c>
      <c r="H67" s="13"/>
      <c r="I67" s="15" t="str">
        <f aca="false">IF(D67="","",INT((D67-Settings!$B$2)/7)+1)</f>
        <v/>
      </c>
      <c r="J67" s="8"/>
      <c r="K67" s="8"/>
    </row>
    <row r="68" customFormat="false" ht="15" hidden="false" customHeight="false" outlineLevel="0" collapsed="false">
      <c r="A68" s="13"/>
      <c r="B68" s="13"/>
      <c r="C68" s="13"/>
      <c r="D68" s="18"/>
      <c r="E68" s="19"/>
      <c r="F68" s="17" t="str">
        <f aca="false">IF(OR(B68="",D68=""),"",IFERROR((D68-INDEX(Requests!$K$2:$K$301,MATCH(B68,Requests!$A$2:$A$301,0)))*24,""))</f>
        <v/>
      </c>
      <c r="G68" s="15" t="str">
        <f aca="false">IF(F68="","",IF(F68&lt;=24,"Y","N"))</f>
        <v/>
      </c>
      <c r="H68" s="13"/>
      <c r="I68" s="15" t="str">
        <f aca="false">IF(D68="","",INT((D68-Settings!$B$2)/7)+1)</f>
        <v/>
      </c>
      <c r="J68" s="8"/>
      <c r="K68" s="8"/>
    </row>
    <row r="69" customFormat="false" ht="15" hidden="false" customHeight="false" outlineLevel="0" collapsed="false">
      <c r="A69" s="13"/>
      <c r="B69" s="13"/>
      <c r="C69" s="13"/>
      <c r="D69" s="18"/>
      <c r="E69" s="19"/>
      <c r="F69" s="17" t="str">
        <f aca="false">IF(OR(B69="",D69=""),"",IFERROR((D69-INDEX(Requests!$K$2:$K$301,MATCH(B69,Requests!$A$2:$A$301,0)))*24,""))</f>
        <v/>
      </c>
      <c r="G69" s="15" t="str">
        <f aca="false">IF(F69="","",IF(F69&lt;=24,"Y","N"))</f>
        <v/>
      </c>
      <c r="H69" s="13"/>
      <c r="I69" s="15" t="str">
        <f aca="false">IF(D69="","",INT((D69-Settings!$B$2)/7)+1)</f>
        <v/>
      </c>
      <c r="J69" s="8"/>
      <c r="K69" s="8"/>
    </row>
    <row r="70" customFormat="false" ht="15" hidden="false" customHeight="false" outlineLevel="0" collapsed="false">
      <c r="A70" s="13"/>
      <c r="B70" s="13"/>
      <c r="C70" s="13"/>
      <c r="D70" s="18"/>
      <c r="E70" s="19"/>
      <c r="F70" s="17" t="str">
        <f aca="false">IF(OR(B70="",D70=""),"",IFERROR((D70-INDEX(Requests!$K$2:$K$301,MATCH(B70,Requests!$A$2:$A$301,0)))*24,""))</f>
        <v/>
      </c>
      <c r="G70" s="15" t="str">
        <f aca="false">IF(F70="","",IF(F70&lt;=24,"Y","N"))</f>
        <v/>
      </c>
      <c r="H70" s="13"/>
      <c r="I70" s="15" t="str">
        <f aca="false">IF(D70="","",INT((D70-Settings!$B$2)/7)+1)</f>
        <v/>
      </c>
      <c r="J70" s="8"/>
      <c r="K70" s="8"/>
    </row>
    <row r="71" customFormat="false" ht="15" hidden="false" customHeight="false" outlineLevel="0" collapsed="false">
      <c r="A71" s="13"/>
      <c r="B71" s="13"/>
      <c r="C71" s="13"/>
      <c r="D71" s="18"/>
      <c r="E71" s="19"/>
      <c r="F71" s="17" t="str">
        <f aca="false">IF(OR(B71="",D71=""),"",IFERROR((D71-INDEX(Requests!$K$2:$K$301,MATCH(B71,Requests!$A$2:$A$301,0)))*24,""))</f>
        <v/>
      </c>
      <c r="G71" s="15" t="str">
        <f aca="false">IF(F71="","",IF(F71&lt;=24,"Y","N"))</f>
        <v/>
      </c>
      <c r="H71" s="13"/>
      <c r="I71" s="15" t="str">
        <f aca="false">IF(D71="","",INT((D71-Settings!$B$2)/7)+1)</f>
        <v/>
      </c>
      <c r="J71" s="8"/>
      <c r="K71" s="8"/>
    </row>
    <row r="72" customFormat="false" ht="15" hidden="false" customHeight="false" outlineLevel="0" collapsed="false">
      <c r="A72" s="13"/>
      <c r="B72" s="13"/>
      <c r="C72" s="13"/>
      <c r="D72" s="18"/>
      <c r="E72" s="19"/>
      <c r="F72" s="17" t="str">
        <f aca="false">IF(OR(B72="",D72=""),"",IFERROR((D72-INDEX(Requests!$K$2:$K$301,MATCH(B72,Requests!$A$2:$A$301,0)))*24,""))</f>
        <v/>
      </c>
      <c r="G72" s="15" t="str">
        <f aca="false">IF(F72="","",IF(F72&lt;=24,"Y","N"))</f>
        <v/>
      </c>
      <c r="H72" s="13"/>
      <c r="I72" s="15" t="str">
        <f aca="false">IF(D72="","",INT((D72-Settings!$B$2)/7)+1)</f>
        <v/>
      </c>
      <c r="J72" s="8"/>
      <c r="K72" s="8"/>
    </row>
    <row r="73" customFormat="false" ht="15" hidden="false" customHeight="false" outlineLevel="0" collapsed="false">
      <c r="A73" s="13"/>
      <c r="B73" s="13"/>
      <c r="C73" s="13"/>
      <c r="D73" s="18"/>
      <c r="E73" s="19"/>
      <c r="F73" s="17" t="str">
        <f aca="false">IF(OR(B73="",D73=""),"",IFERROR((D73-INDEX(Requests!$K$2:$K$301,MATCH(B73,Requests!$A$2:$A$301,0)))*24,""))</f>
        <v/>
      </c>
      <c r="G73" s="15" t="str">
        <f aca="false">IF(F73="","",IF(F73&lt;=24,"Y","N"))</f>
        <v/>
      </c>
      <c r="H73" s="13"/>
      <c r="I73" s="15" t="str">
        <f aca="false">IF(D73="","",INT((D73-Settings!$B$2)/7)+1)</f>
        <v/>
      </c>
      <c r="J73" s="8"/>
      <c r="K73" s="8"/>
    </row>
    <row r="74" customFormat="false" ht="15" hidden="false" customHeight="false" outlineLevel="0" collapsed="false">
      <c r="A74" s="13"/>
      <c r="B74" s="13"/>
      <c r="C74" s="13"/>
      <c r="D74" s="18"/>
      <c r="E74" s="19"/>
      <c r="F74" s="17" t="str">
        <f aca="false">IF(OR(B74="",D74=""),"",IFERROR((D74-INDEX(Requests!$K$2:$K$301,MATCH(B74,Requests!$A$2:$A$301,0)))*24,""))</f>
        <v/>
      </c>
      <c r="G74" s="15" t="str">
        <f aca="false">IF(F74="","",IF(F74&lt;=24,"Y","N"))</f>
        <v/>
      </c>
      <c r="H74" s="13"/>
      <c r="I74" s="15" t="str">
        <f aca="false">IF(D74="","",INT((D74-Settings!$B$2)/7)+1)</f>
        <v/>
      </c>
      <c r="J74" s="8"/>
      <c r="K74" s="8"/>
    </row>
    <row r="75" customFormat="false" ht="15" hidden="false" customHeight="false" outlineLevel="0" collapsed="false">
      <c r="A75" s="13"/>
      <c r="B75" s="13"/>
      <c r="C75" s="13"/>
      <c r="D75" s="18"/>
      <c r="E75" s="19"/>
      <c r="F75" s="17" t="str">
        <f aca="false">IF(OR(B75="",D75=""),"",IFERROR((D75-INDEX(Requests!$K$2:$K$301,MATCH(B75,Requests!$A$2:$A$301,0)))*24,""))</f>
        <v/>
      </c>
      <c r="G75" s="15" t="str">
        <f aca="false">IF(F75="","",IF(F75&lt;=24,"Y","N"))</f>
        <v/>
      </c>
      <c r="H75" s="13"/>
      <c r="I75" s="15" t="str">
        <f aca="false">IF(D75="","",INT((D75-Settings!$B$2)/7)+1)</f>
        <v/>
      </c>
      <c r="J75" s="8"/>
      <c r="K75" s="8"/>
    </row>
    <row r="76" customFormat="false" ht="15" hidden="false" customHeight="false" outlineLevel="0" collapsed="false">
      <c r="A76" s="13"/>
      <c r="B76" s="13"/>
      <c r="C76" s="13"/>
      <c r="D76" s="18"/>
      <c r="E76" s="19"/>
      <c r="F76" s="17" t="str">
        <f aca="false">IF(OR(B76="",D76=""),"",IFERROR((D76-INDEX(Requests!$K$2:$K$301,MATCH(B76,Requests!$A$2:$A$301,0)))*24,""))</f>
        <v/>
      </c>
      <c r="G76" s="15" t="str">
        <f aca="false">IF(F76="","",IF(F76&lt;=24,"Y","N"))</f>
        <v/>
      </c>
      <c r="H76" s="13"/>
      <c r="I76" s="15" t="str">
        <f aca="false">IF(D76="","",INT((D76-Settings!$B$2)/7)+1)</f>
        <v/>
      </c>
      <c r="J76" s="8"/>
      <c r="K76" s="8"/>
    </row>
    <row r="77" customFormat="false" ht="15" hidden="false" customHeight="false" outlineLevel="0" collapsed="false">
      <c r="A77" s="13"/>
      <c r="B77" s="13"/>
      <c r="C77" s="13"/>
      <c r="D77" s="18"/>
      <c r="E77" s="19"/>
      <c r="F77" s="17" t="str">
        <f aca="false">IF(OR(B77="",D77=""),"",IFERROR((D77-INDEX(Requests!$K$2:$K$301,MATCH(B77,Requests!$A$2:$A$301,0)))*24,""))</f>
        <v/>
      </c>
      <c r="G77" s="15" t="str">
        <f aca="false">IF(F77="","",IF(F77&lt;=24,"Y","N"))</f>
        <v/>
      </c>
      <c r="H77" s="13"/>
      <c r="I77" s="15" t="str">
        <f aca="false">IF(D77="","",INT((D77-Settings!$B$2)/7)+1)</f>
        <v/>
      </c>
      <c r="J77" s="8"/>
      <c r="K77" s="8"/>
    </row>
    <row r="78" customFormat="false" ht="15" hidden="false" customHeight="false" outlineLevel="0" collapsed="false">
      <c r="A78" s="13"/>
      <c r="B78" s="13"/>
      <c r="C78" s="13"/>
      <c r="D78" s="18"/>
      <c r="E78" s="19"/>
      <c r="F78" s="17" t="str">
        <f aca="false">IF(OR(B78="",D78=""),"",IFERROR((D78-INDEX(Requests!$K$2:$K$301,MATCH(B78,Requests!$A$2:$A$301,0)))*24,""))</f>
        <v/>
      </c>
      <c r="G78" s="15" t="str">
        <f aca="false">IF(F78="","",IF(F78&lt;=24,"Y","N"))</f>
        <v/>
      </c>
      <c r="H78" s="13"/>
      <c r="I78" s="15" t="str">
        <f aca="false">IF(D78="","",INT((D78-Settings!$B$2)/7)+1)</f>
        <v/>
      </c>
      <c r="J78" s="8"/>
      <c r="K78" s="8"/>
    </row>
    <row r="79" customFormat="false" ht="15" hidden="false" customHeight="false" outlineLevel="0" collapsed="false">
      <c r="A79" s="13"/>
      <c r="B79" s="13"/>
      <c r="C79" s="13"/>
      <c r="D79" s="18"/>
      <c r="E79" s="19"/>
      <c r="F79" s="17" t="str">
        <f aca="false">IF(OR(B79="",D79=""),"",IFERROR((D79-INDEX(Requests!$K$2:$K$301,MATCH(B79,Requests!$A$2:$A$301,0)))*24,""))</f>
        <v/>
      </c>
      <c r="G79" s="15" t="str">
        <f aca="false">IF(F79="","",IF(F79&lt;=24,"Y","N"))</f>
        <v/>
      </c>
      <c r="H79" s="13"/>
      <c r="I79" s="15" t="str">
        <f aca="false">IF(D79="","",INT((D79-Settings!$B$2)/7)+1)</f>
        <v/>
      </c>
      <c r="J79" s="8"/>
      <c r="K79" s="8"/>
    </row>
    <row r="80" customFormat="false" ht="15" hidden="false" customHeight="false" outlineLevel="0" collapsed="false">
      <c r="A80" s="13"/>
      <c r="B80" s="13"/>
      <c r="C80" s="13"/>
      <c r="D80" s="18"/>
      <c r="E80" s="19"/>
      <c r="F80" s="17" t="str">
        <f aca="false">IF(OR(B80="",D80=""),"",IFERROR((D80-INDEX(Requests!$K$2:$K$301,MATCH(B80,Requests!$A$2:$A$301,0)))*24,""))</f>
        <v/>
      </c>
      <c r="G80" s="15" t="str">
        <f aca="false">IF(F80="","",IF(F80&lt;=24,"Y","N"))</f>
        <v/>
      </c>
      <c r="H80" s="13"/>
      <c r="I80" s="15" t="str">
        <f aca="false">IF(D80="","",INT((D80-Settings!$B$2)/7)+1)</f>
        <v/>
      </c>
      <c r="J80" s="8"/>
      <c r="K80" s="8"/>
    </row>
    <row r="81" customFormat="false" ht="15" hidden="false" customHeight="false" outlineLevel="0" collapsed="false">
      <c r="A81" s="13"/>
      <c r="B81" s="13"/>
      <c r="C81" s="13"/>
      <c r="D81" s="18"/>
      <c r="E81" s="19"/>
      <c r="F81" s="17" t="str">
        <f aca="false">IF(OR(B81="",D81=""),"",IFERROR((D81-INDEX(Requests!$K$2:$K$301,MATCH(B81,Requests!$A$2:$A$301,0)))*24,""))</f>
        <v/>
      </c>
      <c r="G81" s="15" t="str">
        <f aca="false">IF(F81="","",IF(F81&lt;=24,"Y","N"))</f>
        <v/>
      </c>
      <c r="H81" s="13"/>
      <c r="I81" s="15" t="str">
        <f aca="false">IF(D81="","",INT((D81-Settings!$B$2)/7)+1)</f>
        <v/>
      </c>
      <c r="J81" s="8"/>
      <c r="K81" s="8"/>
    </row>
    <row r="82" customFormat="false" ht="15" hidden="false" customHeight="false" outlineLevel="0" collapsed="false">
      <c r="A82" s="13"/>
      <c r="B82" s="13"/>
      <c r="C82" s="13"/>
      <c r="D82" s="18"/>
      <c r="E82" s="19"/>
      <c r="F82" s="17" t="str">
        <f aca="false">IF(OR(B82="",D82=""),"",IFERROR((D82-INDEX(Requests!$K$2:$K$301,MATCH(B82,Requests!$A$2:$A$301,0)))*24,""))</f>
        <v/>
      </c>
      <c r="G82" s="15" t="str">
        <f aca="false">IF(F82="","",IF(F82&lt;=24,"Y","N"))</f>
        <v/>
      </c>
      <c r="H82" s="13"/>
      <c r="I82" s="15" t="str">
        <f aca="false">IF(D82="","",INT((D82-Settings!$B$2)/7)+1)</f>
        <v/>
      </c>
      <c r="J82" s="8"/>
      <c r="K82" s="8"/>
    </row>
    <row r="83" customFormat="false" ht="15" hidden="false" customHeight="false" outlineLevel="0" collapsed="false">
      <c r="A83" s="13"/>
      <c r="B83" s="13"/>
      <c r="C83" s="13"/>
      <c r="D83" s="18"/>
      <c r="E83" s="19"/>
      <c r="F83" s="17" t="str">
        <f aca="false">IF(OR(B83="",D83=""),"",IFERROR((D83-INDEX(Requests!$K$2:$K$301,MATCH(B83,Requests!$A$2:$A$301,0)))*24,""))</f>
        <v/>
      </c>
      <c r="G83" s="15" t="str">
        <f aca="false">IF(F83="","",IF(F83&lt;=24,"Y","N"))</f>
        <v/>
      </c>
      <c r="H83" s="13"/>
      <c r="I83" s="15" t="str">
        <f aca="false">IF(D83="","",INT((D83-Settings!$B$2)/7)+1)</f>
        <v/>
      </c>
      <c r="J83" s="8"/>
      <c r="K83" s="8"/>
    </row>
    <row r="84" customFormat="false" ht="15" hidden="false" customHeight="false" outlineLevel="0" collapsed="false">
      <c r="A84" s="13"/>
      <c r="B84" s="13"/>
      <c r="C84" s="13"/>
      <c r="D84" s="18"/>
      <c r="E84" s="19"/>
      <c r="F84" s="17" t="str">
        <f aca="false">IF(OR(B84="",D84=""),"",IFERROR((D84-INDEX(Requests!$K$2:$K$301,MATCH(B84,Requests!$A$2:$A$301,0)))*24,""))</f>
        <v/>
      </c>
      <c r="G84" s="15" t="str">
        <f aca="false">IF(F84="","",IF(F84&lt;=24,"Y","N"))</f>
        <v/>
      </c>
      <c r="H84" s="13"/>
      <c r="I84" s="15" t="str">
        <f aca="false">IF(D84="","",INT((D84-Settings!$B$2)/7)+1)</f>
        <v/>
      </c>
      <c r="J84" s="8"/>
      <c r="K84" s="8"/>
    </row>
    <row r="85" customFormat="false" ht="15" hidden="false" customHeight="false" outlineLevel="0" collapsed="false">
      <c r="A85" s="13"/>
      <c r="B85" s="13"/>
      <c r="C85" s="13"/>
      <c r="D85" s="18"/>
      <c r="E85" s="19"/>
      <c r="F85" s="17" t="str">
        <f aca="false">IF(OR(B85="",D85=""),"",IFERROR((D85-INDEX(Requests!$K$2:$K$301,MATCH(B85,Requests!$A$2:$A$301,0)))*24,""))</f>
        <v/>
      </c>
      <c r="G85" s="15" t="str">
        <f aca="false">IF(F85="","",IF(F85&lt;=24,"Y","N"))</f>
        <v/>
      </c>
      <c r="H85" s="13"/>
      <c r="I85" s="15" t="str">
        <f aca="false">IF(D85="","",INT((D85-Settings!$B$2)/7)+1)</f>
        <v/>
      </c>
      <c r="J85" s="8"/>
      <c r="K85" s="8"/>
    </row>
    <row r="86" customFormat="false" ht="15" hidden="false" customHeight="false" outlineLevel="0" collapsed="false">
      <c r="A86" s="13"/>
      <c r="B86" s="13"/>
      <c r="C86" s="13"/>
      <c r="D86" s="18"/>
      <c r="E86" s="19"/>
      <c r="F86" s="17" t="str">
        <f aca="false">IF(OR(B86="",D86=""),"",IFERROR((D86-INDEX(Requests!$K$2:$K$301,MATCH(B86,Requests!$A$2:$A$301,0)))*24,""))</f>
        <v/>
      </c>
      <c r="G86" s="15" t="str">
        <f aca="false">IF(F86="","",IF(F86&lt;=24,"Y","N"))</f>
        <v/>
      </c>
      <c r="H86" s="13"/>
      <c r="I86" s="15" t="str">
        <f aca="false">IF(D86="","",INT((D86-Settings!$B$2)/7)+1)</f>
        <v/>
      </c>
      <c r="J86" s="8"/>
      <c r="K86" s="8"/>
    </row>
    <row r="87" customFormat="false" ht="15" hidden="false" customHeight="false" outlineLevel="0" collapsed="false">
      <c r="A87" s="13"/>
      <c r="B87" s="13"/>
      <c r="C87" s="13"/>
      <c r="D87" s="18"/>
      <c r="E87" s="19"/>
      <c r="F87" s="17" t="str">
        <f aca="false">IF(OR(B87="",D87=""),"",IFERROR((D87-INDEX(Requests!$K$2:$K$301,MATCH(B87,Requests!$A$2:$A$301,0)))*24,""))</f>
        <v/>
      </c>
      <c r="G87" s="15" t="str">
        <f aca="false">IF(F87="","",IF(F87&lt;=24,"Y","N"))</f>
        <v/>
      </c>
      <c r="H87" s="13"/>
      <c r="I87" s="15" t="str">
        <f aca="false">IF(D87="","",INT((D87-Settings!$B$2)/7)+1)</f>
        <v/>
      </c>
      <c r="J87" s="8"/>
      <c r="K87" s="8"/>
    </row>
    <row r="88" customFormat="false" ht="15" hidden="false" customHeight="false" outlineLevel="0" collapsed="false">
      <c r="A88" s="13"/>
      <c r="B88" s="13"/>
      <c r="C88" s="13"/>
      <c r="D88" s="18"/>
      <c r="E88" s="19"/>
      <c r="F88" s="17" t="str">
        <f aca="false">IF(OR(B88="",D88=""),"",IFERROR((D88-INDEX(Requests!$K$2:$K$301,MATCH(B88,Requests!$A$2:$A$301,0)))*24,""))</f>
        <v/>
      </c>
      <c r="G88" s="15" t="str">
        <f aca="false">IF(F88="","",IF(F88&lt;=24,"Y","N"))</f>
        <v/>
      </c>
      <c r="H88" s="13"/>
      <c r="I88" s="15" t="str">
        <f aca="false">IF(D88="","",INT((D88-Settings!$B$2)/7)+1)</f>
        <v/>
      </c>
      <c r="J88" s="8"/>
      <c r="K88" s="8"/>
    </row>
    <row r="89" customFormat="false" ht="15" hidden="false" customHeight="false" outlineLevel="0" collapsed="false">
      <c r="A89" s="13"/>
      <c r="B89" s="13"/>
      <c r="C89" s="13"/>
      <c r="D89" s="18"/>
      <c r="E89" s="19"/>
      <c r="F89" s="17" t="str">
        <f aca="false">IF(OR(B89="",D89=""),"",IFERROR((D89-INDEX(Requests!$K$2:$K$301,MATCH(B89,Requests!$A$2:$A$301,0)))*24,""))</f>
        <v/>
      </c>
      <c r="G89" s="15" t="str">
        <f aca="false">IF(F89="","",IF(F89&lt;=24,"Y","N"))</f>
        <v/>
      </c>
      <c r="H89" s="13"/>
      <c r="I89" s="15" t="str">
        <f aca="false">IF(D89="","",INT((D89-Settings!$B$2)/7)+1)</f>
        <v/>
      </c>
      <c r="J89" s="8"/>
      <c r="K89" s="8"/>
    </row>
    <row r="90" customFormat="false" ht="15" hidden="false" customHeight="false" outlineLevel="0" collapsed="false">
      <c r="A90" s="13"/>
      <c r="B90" s="13"/>
      <c r="C90" s="13"/>
      <c r="D90" s="18"/>
      <c r="E90" s="19"/>
      <c r="F90" s="17" t="str">
        <f aca="false">IF(OR(B90="",D90=""),"",IFERROR((D90-INDEX(Requests!$K$2:$K$301,MATCH(B90,Requests!$A$2:$A$301,0)))*24,""))</f>
        <v/>
      </c>
      <c r="G90" s="15" t="str">
        <f aca="false">IF(F90="","",IF(F90&lt;=24,"Y","N"))</f>
        <v/>
      </c>
      <c r="H90" s="13"/>
      <c r="I90" s="15" t="str">
        <f aca="false">IF(D90="","",INT((D90-Settings!$B$2)/7)+1)</f>
        <v/>
      </c>
      <c r="J90" s="8"/>
      <c r="K90" s="8"/>
    </row>
    <row r="91" customFormat="false" ht="15" hidden="false" customHeight="false" outlineLevel="0" collapsed="false">
      <c r="A91" s="13"/>
      <c r="B91" s="13"/>
      <c r="C91" s="13"/>
      <c r="D91" s="18"/>
      <c r="E91" s="19"/>
      <c r="F91" s="17" t="str">
        <f aca="false">IF(OR(B91="",D91=""),"",IFERROR((D91-INDEX(Requests!$K$2:$K$301,MATCH(B91,Requests!$A$2:$A$301,0)))*24,""))</f>
        <v/>
      </c>
      <c r="G91" s="15" t="str">
        <f aca="false">IF(F91="","",IF(F91&lt;=24,"Y","N"))</f>
        <v/>
      </c>
      <c r="H91" s="13"/>
      <c r="I91" s="15" t="str">
        <f aca="false">IF(D91="","",INT((D91-Settings!$B$2)/7)+1)</f>
        <v/>
      </c>
      <c r="J91" s="8"/>
      <c r="K91" s="8"/>
    </row>
    <row r="92" customFormat="false" ht="15" hidden="false" customHeight="false" outlineLevel="0" collapsed="false">
      <c r="A92" s="13"/>
      <c r="B92" s="13"/>
      <c r="C92" s="13"/>
      <c r="D92" s="18"/>
      <c r="E92" s="19"/>
      <c r="F92" s="17" t="str">
        <f aca="false">IF(OR(B92="",D92=""),"",IFERROR((D92-INDEX(Requests!$K$2:$K$301,MATCH(B92,Requests!$A$2:$A$301,0)))*24,""))</f>
        <v/>
      </c>
      <c r="G92" s="15" t="str">
        <f aca="false">IF(F92="","",IF(F92&lt;=24,"Y","N"))</f>
        <v/>
      </c>
      <c r="H92" s="13"/>
      <c r="I92" s="15" t="str">
        <f aca="false">IF(D92="","",INT((D92-Settings!$B$2)/7)+1)</f>
        <v/>
      </c>
      <c r="J92" s="8"/>
      <c r="K92" s="8"/>
    </row>
    <row r="93" customFormat="false" ht="15" hidden="false" customHeight="false" outlineLevel="0" collapsed="false">
      <c r="A93" s="13"/>
      <c r="B93" s="13"/>
      <c r="C93" s="13"/>
      <c r="D93" s="18"/>
      <c r="E93" s="19"/>
      <c r="F93" s="17" t="str">
        <f aca="false">IF(OR(B93="",D93=""),"",IFERROR((D93-INDEX(Requests!$K$2:$K$301,MATCH(B93,Requests!$A$2:$A$301,0)))*24,""))</f>
        <v/>
      </c>
      <c r="G93" s="15" t="str">
        <f aca="false">IF(F93="","",IF(F93&lt;=24,"Y","N"))</f>
        <v/>
      </c>
      <c r="H93" s="13"/>
      <c r="I93" s="15" t="str">
        <f aca="false">IF(D93="","",INT((D93-Settings!$B$2)/7)+1)</f>
        <v/>
      </c>
      <c r="J93" s="8"/>
      <c r="K93" s="8"/>
    </row>
    <row r="94" customFormat="false" ht="15" hidden="false" customHeight="false" outlineLevel="0" collapsed="false">
      <c r="A94" s="13"/>
      <c r="B94" s="13"/>
      <c r="C94" s="13"/>
      <c r="D94" s="18"/>
      <c r="E94" s="19"/>
      <c r="F94" s="17" t="str">
        <f aca="false">IF(OR(B94="",D94=""),"",IFERROR((D94-INDEX(Requests!$K$2:$K$301,MATCH(B94,Requests!$A$2:$A$301,0)))*24,""))</f>
        <v/>
      </c>
      <c r="G94" s="15" t="str">
        <f aca="false">IF(F94="","",IF(F94&lt;=24,"Y","N"))</f>
        <v/>
      </c>
      <c r="H94" s="13"/>
      <c r="I94" s="15" t="str">
        <f aca="false">IF(D94="","",INT((D94-Settings!$B$2)/7)+1)</f>
        <v/>
      </c>
      <c r="J94" s="8"/>
      <c r="K94" s="8"/>
    </row>
    <row r="95" customFormat="false" ht="15" hidden="false" customHeight="false" outlineLevel="0" collapsed="false">
      <c r="A95" s="13"/>
      <c r="B95" s="13"/>
      <c r="C95" s="13"/>
      <c r="D95" s="18"/>
      <c r="E95" s="19"/>
      <c r="F95" s="17" t="str">
        <f aca="false">IF(OR(B95="",D95=""),"",IFERROR((D95-INDEX(Requests!$K$2:$K$301,MATCH(B95,Requests!$A$2:$A$301,0)))*24,""))</f>
        <v/>
      </c>
      <c r="G95" s="15" t="str">
        <f aca="false">IF(F95="","",IF(F95&lt;=24,"Y","N"))</f>
        <v/>
      </c>
      <c r="H95" s="13"/>
      <c r="I95" s="15" t="str">
        <f aca="false">IF(D95="","",INT((D95-Settings!$B$2)/7)+1)</f>
        <v/>
      </c>
      <c r="J95" s="8"/>
      <c r="K95" s="8"/>
    </row>
    <row r="96" customFormat="false" ht="15" hidden="false" customHeight="false" outlineLevel="0" collapsed="false">
      <c r="A96" s="13"/>
      <c r="B96" s="13"/>
      <c r="C96" s="13"/>
      <c r="D96" s="18"/>
      <c r="E96" s="19"/>
      <c r="F96" s="17" t="str">
        <f aca="false">IF(OR(B96="",D96=""),"",IFERROR((D96-INDEX(Requests!$K$2:$K$301,MATCH(B96,Requests!$A$2:$A$301,0)))*24,""))</f>
        <v/>
      </c>
      <c r="G96" s="15" t="str">
        <f aca="false">IF(F96="","",IF(F96&lt;=24,"Y","N"))</f>
        <v/>
      </c>
      <c r="H96" s="13"/>
      <c r="I96" s="15" t="str">
        <f aca="false">IF(D96="","",INT((D96-Settings!$B$2)/7)+1)</f>
        <v/>
      </c>
      <c r="J96" s="8"/>
      <c r="K96" s="8"/>
    </row>
    <row r="97" customFormat="false" ht="15" hidden="false" customHeight="false" outlineLevel="0" collapsed="false">
      <c r="A97" s="13"/>
      <c r="B97" s="13"/>
      <c r="C97" s="13"/>
      <c r="D97" s="18"/>
      <c r="E97" s="19"/>
      <c r="F97" s="17" t="str">
        <f aca="false">IF(OR(B97="",D97=""),"",IFERROR((D97-INDEX(Requests!$K$2:$K$301,MATCH(B97,Requests!$A$2:$A$301,0)))*24,""))</f>
        <v/>
      </c>
      <c r="G97" s="15" t="str">
        <f aca="false">IF(F97="","",IF(F97&lt;=24,"Y","N"))</f>
        <v/>
      </c>
      <c r="H97" s="13"/>
      <c r="I97" s="15" t="str">
        <f aca="false">IF(D97="","",INT((D97-Settings!$B$2)/7)+1)</f>
        <v/>
      </c>
      <c r="J97" s="8"/>
      <c r="K97" s="8"/>
    </row>
    <row r="98" customFormat="false" ht="15" hidden="false" customHeight="false" outlineLevel="0" collapsed="false">
      <c r="A98" s="13"/>
      <c r="B98" s="13"/>
      <c r="C98" s="13"/>
      <c r="D98" s="18"/>
      <c r="E98" s="19"/>
      <c r="F98" s="17" t="str">
        <f aca="false">IF(OR(B98="",D98=""),"",IFERROR((D98-INDEX(Requests!$K$2:$K$301,MATCH(B98,Requests!$A$2:$A$301,0)))*24,""))</f>
        <v/>
      </c>
      <c r="G98" s="15" t="str">
        <f aca="false">IF(F98="","",IF(F98&lt;=24,"Y","N"))</f>
        <v/>
      </c>
      <c r="H98" s="13"/>
      <c r="I98" s="15" t="str">
        <f aca="false">IF(D98="","",INT((D98-Settings!$B$2)/7)+1)</f>
        <v/>
      </c>
      <c r="J98" s="8"/>
      <c r="K98" s="8"/>
    </row>
    <row r="99" customFormat="false" ht="15" hidden="false" customHeight="false" outlineLevel="0" collapsed="false">
      <c r="A99" s="13"/>
      <c r="B99" s="13"/>
      <c r="C99" s="13"/>
      <c r="D99" s="18"/>
      <c r="E99" s="19"/>
      <c r="F99" s="17" t="str">
        <f aca="false">IF(OR(B99="",D99=""),"",IFERROR((D99-INDEX(Requests!$K$2:$K$301,MATCH(B99,Requests!$A$2:$A$301,0)))*24,""))</f>
        <v/>
      </c>
      <c r="G99" s="15" t="str">
        <f aca="false">IF(F99="","",IF(F99&lt;=24,"Y","N"))</f>
        <v/>
      </c>
      <c r="H99" s="13"/>
      <c r="I99" s="15" t="str">
        <f aca="false">IF(D99="","",INT((D99-Settings!$B$2)/7)+1)</f>
        <v/>
      </c>
      <c r="J99" s="8"/>
      <c r="K99" s="8"/>
    </row>
    <row r="100" customFormat="false" ht="15" hidden="false" customHeight="false" outlineLevel="0" collapsed="false">
      <c r="A100" s="13"/>
      <c r="B100" s="13"/>
      <c r="C100" s="13"/>
      <c r="D100" s="18"/>
      <c r="E100" s="19"/>
      <c r="F100" s="17" t="str">
        <f aca="false">IF(OR(B100="",D100=""),"",IFERROR((D100-INDEX(Requests!$K$2:$K$301,MATCH(B100,Requests!$A$2:$A$301,0)))*24,""))</f>
        <v/>
      </c>
      <c r="G100" s="15" t="str">
        <f aca="false">IF(F100="","",IF(F100&lt;=24,"Y","N"))</f>
        <v/>
      </c>
      <c r="H100" s="13"/>
      <c r="I100" s="15" t="str">
        <f aca="false">IF(D100="","",INT((D100-Settings!$B$2)/7)+1)</f>
        <v/>
      </c>
      <c r="J100" s="8"/>
      <c r="K100" s="8"/>
    </row>
    <row r="101" customFormat="false" ht="15" hidden="false" customHeight="false" outlineLevel="0" collapsed="false">
      <c r="A101" s="13"/>
      <c r="B101" s="13"/>
      <c r="C101" s="13"/>
      <c r="D101" s="18"/>
      <c r="E101" s="19"/>
      <c r="F101" s="17" t="str">
        <f aca="false">IF(OR(B101="",D101=""),"",IFERROR((D101-INDEX(Requests!$K$2:$K$301,MATCH(B101,Requests!$A$2:$A$301,0)))*24,""))</f>
        <v/>
      </c>
      <c r="G101" s="15" t="str">
        <f aca="false">IF(F101="","",IF(F101&lt;=24,"Y","N"))</f>
        <v/>
      </c>
      <c r="H101" s="13"/>
      <c r="I101" s="15" t="str">
        <f aca="false">IF(D101="","",INT((D101-Settings!$B$2)/7)+1)</f>
        <v/>
      </c>
      <c r="J101" s="8"/>
      <c r="K101" s="8"/>
    </row>
    <row r="102" customFormat="false" ht="15" hidden="false" customHeight="false" outlineLevel="0" collapsed="false">
      <c r="A102" s="13"/>
      <c r="B102" s="13"/>
      <c r="C102" s="13"/>
      <c r="D102" s="18"/>
      <c r="E102" s="19"/>
      <c r="F102" s="17" t="str">
        <f aca="false">IF(OR(B102="",D102=""),"",IFERROR((D102-INDEX(Requests!$K$2:$K$301,MATCH(B102,Requests!$A$2:$A$301,0)))*24,""))</f>
        <v/>
      </c>
      <c r="G102" s="15" t="str">
        <f aca="false">IF(F102="","",IF(F102&lt;=24,"Y","N"))</f>
        <v/>
      </c>
      <c r="H102" s="13"/>
      <c r="I102" s="15" t="str">
        <f aca="false">IF(D102="","",INT((D102-Settings!$B$2)/7)+1)</f>
        <v/>
      </c>
      <c r="J102" s="8"/>
      <c r="K102" s="8"/>
    </row>
    <row r="103" customFormat="false" ht="15" hidden="false" customHeight="false" outlineLevel="0" collapsed="false">
      <c r="A103" s="13"/>
      <c r="B103" s="13"/>
      <c r="C103" s="13"/>
      <c r="D103" s="18"/>
      <c r="E103" s="19"/>
      <c r="F103" s="17" t="str">
        <f aca="false">IF(OR(B103="",D103=""),"",IFERROR((D103-INDEX(Requests!$K$2:$K$301,MATCH(B103,Requests!$A$2:$A$301,0)))*24,""))</f>
        <v/>
      </c>
      <c r="G103" s="15" t="str">
        <f aca="false">IF(F103="","",IF(F103&lt;=24,"Y","N"))</f>
        <v/>
      </c>
      <c r="H103" s="13"/>
      <c r="I103" s="15" t="str">
        <f aca="false">IF(D103="","",INT((D103-Settings!$B$2)/7)+1)</f>
        <v/>
      </c>
      <c r="J103" s="8"/>
      <c r="K103" s="8"/>
    </row>
    <row r="104" customFormat="false" ht="15" hidden="false" customHeight="false" outlineLevel="0" collapsed="false">
      <c r="A104" s="13"/>
      <c r="B104" s="13"/>
      <c r="C104" s="13"/>
      <c r="D104" s="18"/>
      <c r="E104" s="19"/>
      <c r="F104" s="17" t="str">
        <f aca="false">IF(OR(B104="",D104=""),"",IFERROR((D104-INDEX(Requests!$K$2:$K$301,MATCH(B104,Requests!$A$2:$A$301,0)))*24,""))</f>
        <v/>
      </c>
      <c r="G104" s="15" t="str">
        <f aca="false">IF(F104="","",IF(F104&lt;=24,"Y","N"))</f>
        <v/>
      </c>
      <c r="H104" s="13"/>
      <c r="I104" s="15" t="str">
        <f aca="false">IF(D104="","",INT((D104-Settings!$B$2)/7)+1)</f>
        <v/>
      </c>
      <c r="J104" s="8"/>
      <c r="K104" s="8"/>
    </row>
    <row r="105" customFormat="false" ht="15" hidden="false" customHeight="false" outlineLevel="0" collapsed="false">
      <c r="A105" s="13"/>
      <c r="B105" s="13"/>
      <c r="C105" s="13"/>
      <c r="D105" s="18"/>
      <c r="E105" s="19"/>
      <c r="F105" s="17" t="str">
        <f aca="false">IF(OR(B105="",D105=""),"",IFERROR((D105-INDEX(Requests!$K$2:$K$301,MATCH(B105,Requests!$A$2:$A$301,0)))*24,""))</f>
        <v/>
      </c>
      <c r="G105" s="15" t="str">
        <f aca="false">IF(F105="","",IF(F105&lt;=24,"Y","N"))</f>
        <v/>
      </c>
      <c r="H105" s="13"/>
      <c r="I105" s="15" t="str">
        <f aca="false">IF(D105="","",INT((D105-Settings!$B$2)/7)+1)</f>
        <v/>
      </c>
      <c r="J105" s="8"/>
      <c r="K105" s="8"/>
    </row>
    <row r="106" customFormat="false" ht="15" hidden="false" customHeight="false" outlineLevel="0" collapsed="false">
      <c r="A106" s="13"/>
      <c r="B106" s="13"/>
      <c r="C106" s="13"/>
      <c r="D106" s="18"/>
      <c r="E106" s="19"/>
      <c r="F106" s="17" t="str">
        <f aca="false">IF(OR(B106="",D106=""),"",IFERROR((D106-INDEX(Requests!$K$2:$K$301,MATCH(B106,Requests!$A$2:$A$301,0)))*24,""))</f>
        <v/>
      </c>
      <c r="G106" s="15" t="str">
        <f aca="false">IF(F106="","",IF(F106&lt;=24,"Y","N"))</f>
        <v/>
      </c>
      <c r="H106" s="13"/>
      <c r="I106" s="15" t="str">
        <f aca="false">IF(D106="","",INT((D106-Settings!$B$2)/7)+1)</f>
        <v/>
      </c>
      <c r="J106" s="8"/>
      <c r="K106" s="8"/>
    </row>
    <row r="107" customFormat="false" ht="15" hidden="false" customHeight="false" outlineLevel="0" collapsed="false">
      <c r="A107" s="13"/>
      <c r="B107" s="13"/>
      <c r="C107" s="13"/>
      <c r="D107" s="18"/>
      <c r="E107" s="19"/>
      <c r="F107" s="17" t="str">
        <f aca="false">IF(OR(B107="",D107=""),"",IFERROR((D107-INDEX(Requests!$K$2:$K$301,MATCH(B107,Requests!$A$2:$A$301,0)))*24,""))</f>
        <v/>
      </c>
      <c r="G107" s="15" t="str">
        <f aca="false">IF(F107="","",IF(F107&lt;=24,"Y","N"))</f>
        <v/>
      </c>
      <c r="H107" s="13"/>
      <c r="I107" s="15" t="str">
        <f aca="false">IF(D107="","",INT((D107-Settings!$B$2)/7)+1)</f>
        <v/>
      </c>
      <c r="J107" s="8"/>
      <c r="K107" s="8"/>
    </row>
    <row r="108" customFormat="false" ht="15" hidden="false" customHeight="false" outlineLevel="0" collapsed="false">
      <c r="A108" s="13"/>
      <c r="B108" s="13"/>
      <c r="C108" s="13"/>
      <c r="D108" s="18"/>
      <c r="E108" s="19"/>
      <c r="F108" s="17" t="str">
        <f aca="false">IF(OR(B108="",D108=""),"",IFERROR((D108-INDEX(Requests!$K$2:$K$301,MATCH(B108,Requests!$A$2:$A$301,0)))*24,""))</f>
        <v/>
      </c>
      <c r="G108" s="15" t="str">
        <f aca="false">IF(F108="","",IF(F108&lt;=24,"Y","N"))</f>
        <v/>
      </c>
      <c r="H108" s="13"/>
      <c r="I108" s="15" t="str">
        <f aca="false">IF(D108="","",INT((D108-Settings!$B$2)/7)+1)</f>
        <v/>
      </c>
      <c r="J108" s="8"/>
      <c r="K108" s="8"/>
    </row>
    <row r="109" customFormat="false" ht="15" hidden="false" customHeight="false" outlineLevel="0" collapsed="false">
      <c r="A109" s="13"/>
      <c r="B109" s="13"/>
      <c r="C109" s="13"/>
      <c r="D109" s="18"/>
      <c r="E109" s="19"/>
      <c r="F109" s="17" t="str">
        <f aca="false">IF(OR(B109="",D109=""),"",IFERROR((D109-INDEX(Requests!$K$2:$K$301,MATCH(B109,Requests!$A$2:$A$301,0)))*24,""))</f>
        <v/>
      </c>
      <c r="G109" s="15" t="str">
        <f aca="false">IF(F109="","",IF(F109&lt;=24,"Y","N"))</f>
        <v/>
      </c>
      <c r="H109" s="13"/>
      <c r="I109" s="15" t="str">
        <f aca="false">IF(D109="","",INT((D109-Settings!$B$2)/7)+1)</f>
        <v/>
      </c>
      <c r="J109" s="8"/>
      <c r="K109" s="8"/>
    </row>
    <row r="110" customFormat="false" ht="15" hidden="false" customHeight="false" outlineLevel="0" collapsed="false">
      <c r="A110" s="13"/>
      <c r="B110" s="13"/>
      <c r="C110" s="13"/>
      <c r="D110" s="18"/>
      <c r="E110" s="19"/>
      <c r="F110" s="17" t="str">
        <f aca="false">IF(OR(B110="",D110=""),"",IFERROR((D110-INDEX(Requests!$K$2:$K$301,MATCH(B110,Requests!$A$2:$A$301,0)))*24,""))</f>
        <v/>
      </c>
      <c r="G110" s="15" t="str">
        <f aca="false">IF(F110="","",IF(F110&lt;=24,"Y","N"))</f>
        <v/>
      </c>
      <c r="H110" s="13"/>
      <c r="I110" s="15" t="str">
        <f aca="false">IF(D110="","",INT((D110-Settings!$B$2)/7)+1)</f>
        <v/>
      </c>
      <c r="J110" s="8"/>
      <c r="K110" s="8"/>
    </row>
    <row r="111" customFormat="false" ht="15" hidden="false" customHeight="false" outlineLevel="0" collapsed="false">
      <c r="A111" s="13"/>
      <c r="B111" s="13"/>
      <c r="C111" s="13"/>
      <c r="D111" s="18"/>
      <c r="E111" s="19"/>
      <c r="F111" s="17" t="str">
        <f aca="false">IF(OR(B111="",D111=""),"",IFERROR((D111-INDEX(Requests!$K$2:$K$301,MATCH(B111,Requests!$A$2:$A$301,0)))*24,""))</f>
        <v/>
      </c>
      <c r="G111" s="15" t="str">
        <f aca="false">IF(F111="","",IF(F111&lt;=24,"Y","N"))</f>
        <v/>
      </c>
      <c r="H111" s="13"/>
      <c r="I111" s="15" t="str">
        <f aca="false">IF(D111="","",INT((D111-Settings!$B$2)/7)+1)</f>
        <v/>
      </c>
      <c r="J111" s="8"/>
      <c r="K111" s="8"/>
    </row>
    <row r="112" customFormat="false" ht="15" hidden="false" customHeight="false" outlineLevel="0" collapsed="false">
      <c r="A112" s="13"/>
      <c r="B112" s="13"/>
      <c r="C112" s="13"/>
      <c r="D112" s="18"/>
      <c r="E112" s="19"/>
      <c r="F112" s="17" t="str">
        <f aca="false">IF(OR(B112="",D112=""),"",IFERROR((D112-INDEX(Requests!$K$2:$K$301,MATCH(B112,Requests!$A$2:$A$301,0)))*24,""))</f>
        <v/>
      </c>
      <c r="G112" s="15" t="str">
        <f aca="false">IF(F112="","",IF(F112&lt;=24,"Y","N"))</f>
        <v/>
      </c>
      <c r="H112" s="13"/>
      <c r="I112" s="15" t="str">
        <f aca="false">IF(D112="","",INT((D112-Settings!$B$2)/7)+1)</f>
        <v/>
      </c>
      <c r="J112" s="8"/>
      <c r="K112" s="8"/>
    </row>
    <row r="113" customFormat="false" ht="15" hidden="false" customHeight="false" outlineLevel="0" collapsed="false">
      <c r="A113" s="13"/>
      <c r="B113" s="13"/>
      <c r="C113" s="13"/>
      <c r="D113" s="18"/>
      <c r="E113" s="19"/>
      <c r="F113" s="17" t="str">
        <f aca="false">IF(OR(B113="",D113=""),"",IFERROR((D113-INDEX(Requests!$K$2:$K$301,MATCH(B113,Requests!$A$2:$A$301,0)))*24,""))</f>
        <v/>
      </c>
      <c r="G113" s="15" t="str">
        <f aca="false">IF(F113="","",IF(F113&lt;=24,"Y","N"))</f>
        <v/>
      </c>
      <c r="H113" s="13"/>
      <c r="I113" s="15" t="str">
        <f aca="false">IF(D113="","",INT((D113-Settings!$B$2)/7)+1)</f>
        <v/>
      </c>
      <c r="J113" s="8"/>
      <c r="K113" s="8"/>
    </row>
    <row r="114" customFormat="false" ht="15" hidden="false" customHeight="false" outlineLevel="0" collapsed="false">
      <c r="A114" s="13"/>
      <c r="B114" s="13"/>
      <c r="C114" s="13"/>
      <c r="D114" s="18"/>
      <c r="E114" s="19"/>
      <c r="F114" s="17" t="str">
        <f aca="false">IF(OR(B114="",D114=""),"",IFERROR((D114-INDEX(Requests!$K$2:$K$301,MATCH(B114,Requests!$A$2:$A$301,0)))*24,""))</f>
        <v/>
      </c>
      <c r="G114" s="15" t="str">
        <f aca="false">IF(F114="","",IF(F114&lt;=24,"Y","N"))</f>
        <v/>
      </c>
      <c r="H114" s="13"/>
      <c r="I114" s="15" t="str">
        <f aca="false">IF(D114="","",INT((D114-Settings!$B$2)/7)+1)</f>
        <v/>
      </c>
      <c r="J114" s="8"/>
      <c r="K114" s="8"/>
    </row>
    <row r="115" customFormat="false" ht="15" hidden="false" customHeight="false" outlineLevel="0" collapsed="false">
      <c r="A115" s="13"/>
      <c r="B115" s="13"/>
      <c r="C115" s="13"/>
      <c r="D115" s="18"/>
      <c r="E115" s="19"/>
      <c r="F115" s="17" t="str">
        <f aca="false">IF(OR(B115="",D115=""),"",IFERROR((D115-INDEX(Requests!$K$2:$K$301,MATCH(B115,Requests!$A$2:$A$301,0)))*24,""))</f>
        <v/>
      </c>
      <c r="G115" s="15" t="str">
        <f aca="false">IF(F115="","",IF(F115&lt;=24,"Y","N"))</f>
        <v/>
      </c>
      <c r="H115" s="13"/>
      <c r="I115" s="15" t="str">
        <f aca="false">IF(D115="","",INT((D115-Settings!$B$2)/7)+1)</f>
        <v/>
      </c>
      <c r="J115" s="8"/>
      <c r="K115" s="8"/>
    </row>
    <row r="116" customFormat="false" ht="15" hidden="false" customHeight="false" outlineLevel="0" collapsed="false">
      <c r="A116" s="13"/>
      <c r="B116" s="13"/>
      <c r="C116" s="13"/>
      <c r="D116" s="18"/>
      <c r="E116" s="19"/>
      <c r="F116" s="17" t="str">
        <f aca="false">IF(OR(B116="",D116=""),"",IFERROR((D116-INDEX(Requests!$K$2:$K$301,MATCH(B116,Requests!$A$2:$A$301,0)))*24,""))</f>
        <v/>
      </c>
      <c r="G116" s="15" t="str">
        <f aca="false">IF(F116="","",IF(F116&lt;=24,"Y","N"))</f>
        <v/>
      </c>
      <c r="H116" s="13"/>
      <c r="I116" s="15" t="str">
        <f aca="false">IF(D116="","",INT((D116-Settings!$B$2)/7)+1)</f>
        <v/>
      </c>
      <c r="J116" s="8"/>
      <c r="K116" s="8"/>
    </row>
    <row r="117" customFormat="false" ht="15" hidden="false" customHeight="false" outlineLevel="0" collapsed="false">
      <c r="A117" s="13"/>
      <c r="B117" s="13"/>
      <c r="C117" s="13"/>
      <c r="D117" s="18"/>
      <c r="E117" s="19"/>
      <c r="F117" s="17" t="str">
        <f aca="false">IF(OR(B117="",D117=""),"",IFERROR((D117-INDEX(Requests!$K$2:$K$301,MATCH(B117,Requests!$A$2:$A$301,0)))*24,""))</f>
        <v/>
      </c>
      <c r="G117" s="15" t="str">
        <f aca="false">IF(F117="","",IF(F117&lt;=24,"Y","N"))</f>
        <v/>
      </c>
      <c r="H117" s="13"/>
      <c r="I117" s="15" t="str">
        <f aca="false">IF(D117="","",INT((D117-Settings!$B$2)/7)+1)</f>
        <v/>
      </c>
      <c r="J117" s="8"/>
      <c r="K117" s="8"/>
    </row>
    <row r="118" customFormat="false" ht="15" hidden="false" customHeight="false" outlineLevel="0" collapsed="false">
      <c r="A118" s="13"/>
      <c r="B118" s="13"/>
      <c r="C118" s="13"/>
      <c r="D118" s="18"/>
      <c r="E118" s="19"/>
      <c r="F118" s="17" t="str">
        <f aca="false">IF(OR(B118="",D118=""),"",IFERROR((D118-INDEX(Requests!$K$2:$K$301,MATCH(B118,Requests!$A$2:$A$301,0)))*24,""))</f>
        <v/>
      </c>
      <c r="G118" s="15" t="str">
        <f aca="false">IF(F118="","",IF(F118&lt;=24,"Y","N"))</f>
        <v/>
      </c>
      <c r="H118" s="13"/>
      <c r="I118" s="15" t="str">
        <f aca="false">IF(D118="","",INT((D118-Settings!$B$2)/7)+1)</f>
        <v/>
      </c>
      <c r="J118" s="8"/>
      <c r="K118" s="8"/>
    </row>
    <row r="119" customFormat="false" ht="15" hidden="false" customHeight="false" outlineLevel="0" collapsed="false">
      <c r="A119" s="13"/>
      <c r="B119" s="13"/>
      <c r="C119" s="13"/>
      <c r="D119" s="18"/>
      <c r="E119" s="19"/>
      <c r="F119" s="17" t="str">
        <f aca="false">IF(OR(B119="",D119=""),"",IFERROR((D119-INDEX(Requests!$K$2:$K$301,MATCH(B119,Requests!$A$2:$A$301,0)))*24,""))</f>
        <v/>
      </c>
      <c r="G119" s="15" t="str">
        <f aca="false">IF(F119="","",IF(F119&lt;=24,"Y","N"))</f>
        <v/>
      </c>
      <c r="H119" s="13"/>
      <c r="I119" s="15" t="str">
        <f aca="false">IF(D119="","",INT((D119-Settings!$B$2)/7)+1)</f>
        <v/>
      </c>
      <c r="J119" s="8"/>
      <c r="K119" s="8"/>
    </row>
    <row r="120" customFormat="false" ht="15" hidden="false" customHeight="false" outlineLevel="0" collapsed="false">
      <c r="A120" s="13"/>
      <c r="B120" s="13"/>
      <c r="C120" s="13"/>
      <c r="D120" s="18"/>
      <c r="E120" s="19"/>
      <c r="F120" s="17" t="str">
        <f aca="false">IF(OR(B120="",D120=""),"",IFERROR((D120-INDEX(Requests!$K$2:$K$301,MATCH(B120,Requests!$A$2:$A$301,0)))*24,""))</f>
        <v/>
      </c>
      <c r="G120" s="15" t="str">
        <f aca="false">IF(F120="","",IF(F120&lt;=24,"Y","N"))</f>
        <v/>
      </c>
      <c r="H120" s="13"/>
      <c r="I120" s="15" t="str">
        <f aca="false">IF(D120="","",INT((D120-Settings!$B$2)/7)+1)</f>
        <v/>
      </c>
      <c r="J120" s="8"/>
      <c r="K120" s="8"/>
    </row>
    <row r="121" customFormat="false" ht="15" hidden="false" customHeight="false" outlineLevel="0" collapsed="false">
      <c r="A121" s="13"/>
      <c r="B121" s="13"/>
      <c r="C121" s="13"/>
      <c r="D121" s="18"/>
      <c r="E121" s="19"/>
      <c r="F121" s="17" t="str">
        <f aca="false">IF(OR(B121="",D121=""),"",IFERROR((D121-INDEX(Requests!$K$2:$K$301,MATCH(B121,Requests!$A$2:$A$301,0)))*24,""))</f>
        <v/>
      </c>
      <c r="G121" s="15" t="str">
        <f aca="false">IF(F121="","",IF(F121&lt;=24,"Y","N"))</f>
        <v/>
      </c>
      <c r="H121" s="13"/>
      <c r="I121" s="15" t="str">
        <f aca="false">IF(D121="","",INT((D121-Settings!$B$2)/7)+1)</f>
        <v/>
      </c>
      <c r="J121" s="8"/>
      <c r="K121" s="8"/>
    </row>
    <row r="122" customFormat="false" ht="15" hidden="false" customHeight="false" outlineLevel="0" collapsed="false">
      <c r="A122" s="13"/>
      <c r="B122" s="13"/>
      <c r="C122" s="13"/>
      <c r="D122" s="18"/>
      <c r="E122" s="19"/>
      <c r="F122" s="17" t="str">
        <f aca="false">IF(OR(B122="",D122=""),"",IFERROR((D122-INDEX(Requests!$K$2:$K$301,MATCH(B122,Requests!$A$2:$A$301,0)))*24,""))</f>
        <v/>
      </c>
      <c r="G122" s="15" t="str">
        <f aca="false">IF(F122="","",IF(F122&lt;=24,"Y","N"))</f>
        <v/>
      </c>
      <c r="H122" s="13"/>
      <c r="I122" s="15" t="str">
        <f aca="false">IF(D122="","",INT((D122-Settings!$B$2)/7)+1)</f>
        <v/>
      </c>
      <c r="J122" s="8"/>
      <c r="K122" s="8"/>
    </row>
    <row r="123" customFormat="false" ht="15" hidden="false" customHeight="false" outlineLevel="0" collapsed="false">
      <c r="A123" s="13"/>
      <c r="B123" s="13"/>
      <c r="C123" s="13"/>
      <c r="D123" s="18"/>
      <c r="E123" s="19"/>
      <c r="F123" s="17" t="str">
        <f aca="false">IF(OR(B123="",D123=""),"",IFERROR((D123-INDEX(Requests!$K$2:$K$301,MATCH(B123,Requests!$A$2:$A$301,0)))*24,""))</f>
        <v/>
      </c>
      <c r="G123" s="15" t="str">
        <f aca="false">IF(F123="","",IF(F123&lt;=24,"Y","N"))</f>
        <v/>
      </c>
      <c r="H123" s="13"/>
      <c r="I123" s="15" t="str">
        <f aca="false">IF(D123="","",INT((D123-Settings!$B$2)/7)+1)</f>
        <v/>
      </c>
      <c r="J123" s="8"/>
      <c r="K123" s="8"/>
    </row>
    <row r="124" customFormat="false" ht="15" hidden="false" customHeight="false" outlineLevel="0" collapsed="false">
      <c r="A124" s="13"/>
      <c r="B124" s="13"/>
      <c r="C124" s="13"/>
      <c r="D124" s="18"/>
      <c r="E124" s="19"/>
      <c r="F124" s="17" t="str">
        <f aca="false">IF(OR(B124="",D124=""),"",IFERROR((D124-INDEX(Requests!$K$2:$K$301,MATCH(B124,Requests!$A$2:$A$301,0)))*24,""))</f>
        <v/>
      </c>
      <c r="G124" s="15" t="str">
        <f aca="false">IF(F124="","",IF(F124&lt;=24,"Y","N"))</f>
        <v/>
      </c>
      <c r="H124" s="13"/>
      <c r="I124" s="15" t="str">
        <f aca="false">IF(D124="","",INT((D124-Settings!$B$2)/7)+1)</f>
        <v/>
      </c>
      <c r="J124" s="8"/>
      <c r="K124" s="8"/>
    </row>
    <row r="125" customFormat="false" ht="15" hidden="false" customHeight="false" outlineLevel="0" collapsed="false">
      <c r="A125" s="13"/>
      <c r="B125" s="13"/>
      <c r="C125" s="13"/>
      <c r="D125" s="18"/>
      <c r="E125" s="19"/>
      <c r="F125" s="17" t="str">
        <f aca="false">IF(OR(B125="",D125=""),"",IFERROR((D125-INDEX(Requests!$K$2:$K$301,MATCH(B125,Requests!$A$2:$A$301,0)))*24,""))</f>
        <v/>
      </c>
      <c r="G125" s="15" t="str">
        <f aca="false">IF(F125="","",IF(F125&lt;=24,"Y","N"))</f>
        <v/>
      </c>
      <c r="H125" s="13"/>
      <c r="I125" s="15" t="str">
        <f aca="false">IF(D125="","",INT((D125-Settings!$B$2)/7)+1)</f>
        <v/>
      </c>
      <c r="J125" s="8"/>
      <c r="K125" s="8"/>
    </row>
    <row r="126" customFormat="false" ht="15" hidden="false" customHeight="false" outlineLevel="0" collapsed="false">
      <c r="A126" s="13"/>
      <c r="B126" s="13"/>
      <c r="C126" s="13"/>
      <c r="D126" s="18"/>
      <c r="E126" s="19"/>
      <c r="F126" s="17" t="str">
        <f aca="false">IF(OR(B126="",D126=""),"",IFERROR((D126-INDEX(Requests!$K$2:$K$301,MATCH(B126,Requests!$A$2:$A$301,0)))*24,""))</f>
        <v/>
      </c>
      <c r="G126" s="15" t="str">
        <f aca="false">IF(F126="","",IF(F126&lt;=24,"Y","N"))</f>
        <v/>
      </c>
      <c r="H126" s="13"/>
      <c r="I126" s="15" t="str">
        <f aca="false">IF(D126="","",INT((D126-Settings!$B$2)/7)+1)</f>
        <v/>
      </c>
      <c r="J126" s="8"/>
      <c r="K126" s="8"/>
    </row>
    <row r="127" customFormat="false" ht="15" hidden="false" customHeight="false" outlineLevel="0" collapsed="false">
      <c r="A127" s="13"/>
      <c r="B127" s="13"/>
      <c r="C127" s="13"/>
      <c r="D127" s="18"/>
      <c r="E127" s="19"/>
      <c r="F127" s="17" t="str">
        <f aca="false">IF(OR(B127="",D127=""),"",IFERROR((D127-INDEX(Requests!$K$2:$K$301,MATCH(B127,Requests!$A$2:$A$301,0)))*24,""))</f>
        <v/>
      </c>
      <c r="G127" s="15" t="str">
        <f aca="false">IF(F127="","",IF(F127&lt;=24,"Y","N"))</f>
        <v/>
      </c>
      <c r="H127" s="13"/>
      <c r="I127" s="15" t="str">
        <f aca="false">IF(D127="","",INT((D127-Settings!$B$2)/7)+1)</f>
        <v/>
      </c>
      <c r="J127" s="8"/>
      <c r="K127" s="8"/>
    </row>
    <row r="128" customFormat="false" ht="15" hidden="false" customHeight="false" outlineLevel="0" collapsed="false">
      <c r="A128" s="13"/>
      <c r="B128" s="13"/>
      <c r="C128" s="13"/>
      <c r="D128" s="18"/>
      <c r="E128" s="19"/>
      <c r="F128" s="17" t="str">
        <f aca="false">IF(OR(B128="",D128=""),"",IFERROR((D128-INDEX(Requests!$K$2:$K$301,MATCH(B128,Requests!$A$2:$A$301,0)))*24,""))</f>
        <v/>
      </c>
      <c r="G128" s="15" t="str">
        <f aca="false">IF(F128="","",IF(F128&lt;=24,"Y","N"))</f>
        <v/>
      </c>
      <c r="H128" s="13"/>
      <c r="I128" s="15" t="str">
        <f aca="false">IF(D128="","",INT((D128-Settings!$B$2)/7)+1)</f>
        <v/>
      </c>
      <c r="J128" s="8"/>
      <c r="K128" s="8"/>
    </row>
    <row r="129" customFormat="false" ht="15" hidden="false" customHeight="false" outlineLevel="0" collapsed="false">
      <c r="A129" s="13"/>
      <c r="B129" s="13"/>
      <c r="C129" s="13"/>
      <c r="D129" s="18"/>
      <c r="E129" s="19"/>
      <c r="F129" s="17" t="str">
        <f aca="false">IF(OR(B129="",D129=""),"",IFERROR((D129-INDEX(Requests!$K$2:$K$301,MATCH(B129,Requests!$A$2:$A$301,0)))*24,""))</f>
        <v/>
      </c>
      <c r="G129" s="15" t="str">
        <f aca="false">IF(F129="","",IF(F129&lt;=24,"Y","N"))</f>
        <v/>
      </c>
      <c r="H129" s="13"/>
      <c r="I129" s="15" t="str">
        <f aca="false">IF(D129="","",INT((D129-Settings!$B$2)/7)+1)</f>
        <v/>
      </c>
      <c r="J129" s="8"/>
      <c r="K129" s="8"/>
    </row>
    <row r="130" customFormat="false" ht="15" hidden="false" customHeight="false" outlineLevel="0" collapsed="false">
      <c r="A130" s="13"/>
      <c r="B130" s="13"/>
      <c r="C130" s="13"/>
      <c r="D130" s="18"/>
      <c r="E130" s="19"/>
      <c r="F130" s="17" t="str">
        <f aca="false">IF(OR(B130="",D130=""),"",IFERROR((D130-INDEX(Requests!$K$2:$K$301,MATCH(B130,Requests!$A$2:$A$301,0)))*24,""))</f>
        <v/>
      </c>
      <c r="G130" s="15" t="str">
        <f aca="false">IF(F130="","",IF(F130&lt;=24,"Y","N"))</f>
        <v/>
      </c>
      <c r="H130" s="13"/>
      <c r="I130" s="15" t="str">
        <f aca="false">IF(D130="","",INT((D130-Settings!$B$2)/7)+1)</f>
        <v/>
      </c>
      <c r="J130" s="8"/>
      <c r="K130" s="8"/>
    </row>
    <row r="131" customFormat="false" ht="15" hidden="false" customHeight="false" outlineLevel="0" collapsed="false">
      <c r="A131" s="13"/>
      <c r="B131" s="13"/>
      <c r="C131" s="13"/>
      <c r="D131" s="18"/>
      <c r="E131" s="19"/>
      <c r="F131" s="17" t="str">
        <f aca="false">IF(OR(B131="",D131=""),"",IFERROR((D131-INDEX(Requests!$K$2:$K$301,MATCH(B131,Requests!$A$2:$A$301,0)))*24,""))</f>
        <v/>
      </c>
      <c r="G131" s="15" t="str">
        <f aca="false">IF(F131="","",IF(F131&lt;=24,"Y","N"))</f>
        <v/>
      </c>
      <c r="H131" s="13"/>
      <c r="I131" s="15" t="str">
        <f aca="false">IF(D131="","",INT((D131-Settings!$B$2)/7)+1)</f>
        <v/>
      </c>
      <c r="J131" s="8"/>
      <c r="K131" s="8"/>
    </row>
    <row r="132" customFormat="false" ht="15" hidden="false" customHeight="false" outlineLevel="0" collapsed="false">
      <c r="A132" s="13"/>
      <c r="B132" s="13"/>
      <c r="C132" s="13"/>
      <c r="D132" s="18"/>
      <c r="E132" s="19"/>
      <c r="F132" s="17" t="str">
        <f aca="false">IF(OR(B132="",D132=""),"",IFERROR((D132-INDEX(Requests!$K$2:$K$301,MATCH(B132,Requests!$A$2:$A$301,0)))*24,""))</f>
        <v/>
      </c>
      <c r="G132" s="15" t="str">
        <f aca="false">IF(F132="","",IF(F132&lt;=24,"Y","N"))</f>
        <v/>
      </c>
      <c r="H132" s="13"/>
      <c r="I132" s="15" t="str">
        <f aca="false">IF(D132="","",INT((D132-Settings!$B$2)/7)+1)</f>
        <v/>
      </c>
      <c r="J132" s="8"/>
      <c r="K132" s="8"/>
    </row>
    <row r="133" customFormat="false" ht="15" hidden="false" customHeight="false" outlineLevel="0" collapsed="false">
      <c r="A133" s="13"/>
      <c r="B133" s="13"/>
      <c r="C133" s="13"/>
      <c r="D133" s="18"/>
      <c r="E133" s="19"/>
      <c r="F133" s="17" t="str">
        <f aca="false">IF(OR(B133="",D133=""),"",IFERROR((D133-INDEX(Requests!$K$2:$K$301,MATCH(B133,Requests!$A$2:$A$301,0)))*24,""))</f>
        <v/>
      </c>
      <c r="G133" s="15" t="str">
        <f aca="false">IF(F133="","",IF(F133&lt;=24,"Y","N"))</f>
        <v/>
      </c>
      <c r="H133" s="13"/>
      <c r="I133" s="15" t="str">
        <f aca="false">IF(D133="","",INT((D133-Settings!$B$2)/7)+1)</f>
        <v/>
      </c>
      <c r="J133" s="8"/>
      <c r="K133" s="8"/>
    </row>
    <row r="134" customFormat="false" ht="15" hidden="false" customHeight="false" outlineLevel="0" collapsed="false">
      <c r="A134" s="13"/>
      <c r="B134" s="13"/>
      <c r="C134" s="13"/>
      <c r="D134" s="18"/>
      <c r="E134" s="19"/>
      <c r="F134" s="17" t="str">
        <f aca="false">IF(OR(B134="",D134=""),"",IFERROR((D134-INDEX(Requests!$K$2:$K$301,MATCH(B134,Requests!$A$2:$A$301,0)))*24,""))</f>
        <v/>
      </c>
      <c r="G134" s="15" t="str">
        <f aca="false">IF(F134="","",IF(F134&lt;=24,"Y","N"))</f>
        <v/>
      </c>
      <c r="H134" s="13"/>
      <c r="I134" s="15" t="str">
        <f aca="false">IF(D134="","",INT((D134-Settings!$B$2)/7)+1)</f>
        <v/>
      </c>
      <c r="J134" s="8"/>
      <c r="K134" s="8"/>
    </row>
    <row r="135" customFormat="false" ht="15" hidden="false" customHeight="false" outlineLevel="0" collapsed="false">
      <c r="A135" s="13"/>
      <c r="B135" s="13"/>
      <c r="C135" s="13"/>
      <c r="D135" s="18"/>
      <c r="E135" s="19"/>
      <c r="F135" s="17" t="str">
        <f aca="false">IF(OR(B135="",D135=""),"",IFERROR((D135-INDEX(Requests!$K$2:$K$301,MATCH(B135,Requests!$A$2:$A$301,0)))*24,""))</f>
        <v/>
      </c>
      <c r="G135" s="15" t="str">
        <f aca="false">IF(F135="","",IF(F135&lt;=24,"Y","N"))</f>
        <v/>
      </c>
      <c r="H135" s="13"/>
      <c r="I135" s="15" t="str">
        <f aca="false">IF(D135="","",INT((D135-Settings!$B$2)/7)+1)</f>
        <v/>
      </c>
      <c r="J135" s="8"/>
      <c r="K135" s="8"/>
    </row>
    <row r="136" customFormat="false" ht="15" hidden="false" customHeight="false" outlineLevel="0" collapsed="false">
      <c r="A136" s="13"/>
      <c r="B136" s="13"/>
      <c r="C136" s="13"/>
      <c r="D136" s="18"/>
      <c r="E136" s="19"/>
      <c r="F136" s="17" t="str">
        <f aca="false">IF(OR(B136="",D136=""),"",IFERROR((D136-INDEX(Requests!$K$2:$K$301,MATCH(B136,Requests!$A$2:$A$301,0)))*24,""))</f>
        <v/>
      </c>
      <c r="G136" s="15" t="str">
        <f aca="false">IF(F136="","",IF(F136&lt;=24,"Y","N"))</f>
        <v/>
      </c>
      <c r="H136" s="13"/>
      <c r="I136" s="15" t="str">
        <f aca="false">IF(D136="","",INT((D136-Settings!$B$2)/7)+1)</f>
        <v/>
      </c>
      <c r="J136" s="8"/>
      <c r="K136" s="8"/>
    </row>
    <row r="137" customFormat="false" ht="15" hidden="false" customHeight="false" outlineLevel="0" collapsed="false">
      <c r="A137" s="13"/>
      <c r="B137" s="13"/>
      <c r="C137" s="13"/>
      <c r="D137" s="18"/>
      <c r="E137" s="19"/>
      <c r="F137" s="17" t="str">
        <f aca="false">IF(OR(B137="",D137=""),"",IFERROR((D137-INDEX(Requests!$K$2:$K$301,MATCH(B137,Requests!$A$2:$A$301,0)))*24,""))</f>
        <v/>
      </c>
      <c r="G137" s="15" t="str">
        <f aca="false">IF(F137="","",IF(F137&lt;=24,"Y","N"))</f>
        <v/>
      </c>
      <c r="H137" s="13"/>
      <c r="I137" s="15" t="str">
        <f aca="false">IF(D137="","",INT((D137-Settings!$B$2)/7)+1)</f>
        <v/>
      </c>
      <c r="J137" s="8"/>
      <c r="K137" s="8"/>
    </row>
    <row r="138" customFormat="false" ht="15" hidden="false" customHeight="false" outlineLevel="0" collapsed="false">
      <c r="A138" s="13"/>
      <c r="B138" s="13"/>
      <c r="C138" s="13"/>
      <c r="D138" s="18"/>
      <c r="E138" s="19"/>
      <c r="F138" s="17" t="str">
        <f aca="false">IF(OR(B138="",D138=""),"",IFERROR((D138-INDEX(Requests!$K$2:$K$301,MATCH(B138,Requests!$A$2:$A$301,0)))*24,""))</f>
        <v/>
      </c>
      <c r="G138" s="15" t="str">
        <f aca="false">IF(F138="","",IF(F138&lt;=24,"Y","N"))</f>
        <v/>
      </c>
      <c r="H138" s="13"/>
      <c r="I138" s="15" t="str">
        <f aca="false">IF(D138="","",INT((D138-Settings!$B$2)/7)+1)</f>
        <v/>
      </c>
      <c r="J138" s="8"/>
      <c r="K138" s="8"/>
    </row>
    <row r="139" customFormat="false" ht="15" hidden="false" customHeight="false" outlineLevel="0" collapsed="false">
      <c r="A139" s="13"/>
      <c r="B139" s="13"/>
      <c r="C139" s="13"/>
      <c r="D139" s="18"/>
      <c r="E139" s="19"/>
      <c r="F139" s="17" t="str">
        <f aca="false">IF(OR(B139="",D139=""),"",IFERROR((D139-INDEX(Requests!$K$2:$K$301,MATCH(B139,Requests!$A$2:$A$301,0)))*24,""))</f>
        <v/>
      </c>
      <c r="G139" s="15" t="str">
        <f aca="false">IF(F139="","",IF(F139&lt;=24,"Y","N"))</f>
        <v/>
      </c>
      <c r="H139" s="13"/>
      <c r="I139" s="15" t="str">
        <f aca="false">IF(D139="","",INT((D139-Settings!$B$2)/7)+1)</f>
        <v/>
      </c>
      <c r="J139" s="8"/>
      <c r="K139" s="8"/>
    </row>
    <row r="140" customFormat="false" ht="15" hidden="false" customHeight="false" outlineLevel="0" collapsed="false">
      <c r="A140" s="13"/>
      <c r="B140" s="13"/>
      <c r="C140" s="13"/>
      <c r="D140" s="18"/>
      <c r="E140" s="19"/>
      <c r="F140" s="17" t="str">
        <f aca="false">IF(OR(B140="",D140=""),"",IFERROR((D140-INDEX(Requests!$K$2:$K$301,MATCH(B140,Requests!$A$2:$A$301,0)))*24,""))</f>
        <v/>
      </c>
      <c r="G140" s="15" t="str">
        <f aca="false">IF(F140="","",IF(F140&lt;=24,"Y","N"))</f>
        <v/>
      </c>
      <c r="H140" s="13"/>
      <c r="I140" s="15" t="str">
        <f aca="false">IF(D140="","",INT((D140-Settings!$B$2)/7)+1)</f>
        <v/>
      </c>
      <c r="J140" s="8"/>
      <c r="K140" s="8"/>
    </row>
    <row r="141" customFormat="false" ht="15" hidden="false" customHeight="false" outlineLevel="0" collapsed="false">
      <c r="A141" s="13"/>
      <c r="B141" s="13"/>
      <c r="C141" s="13"/>
      <c r="D141" s="18"/>
      <c r="E141" s="19"/>
      <c r="F141" s="17" t="str">
        <f aca="false">IF(OR(B141="",D141=""),"",IFERROR((D141-INDEX(Requests!$K$2:$K$301,MATCH(B141,Requests!$A$2:$A$301,0)))*24,""))</f>
        <v/>
      </c>
      <c r="G141" s="15" t="str">
        <f aca="false">IF(F141="","",IF(F141&lt;=24,"Y","N"))</f>
        <v/>
      </c>
      <c r="H141" s="13"/>
      <c r="I141" s="15" t="str">
        <f aca="false">IF(D141="","",INT((D141-Settings!$B$2)/7)+1)</f>
        <v/>
      </c>
      <c r="J141" s="8"/>
      <c r="K141" s="8"/>
    </row>
    <row r="142" customFormat="false" ht="15" hidden="false" customHeight="false" outlineLevel="0" collapsed="false">
      <c r="A142" s="13"/>
      <c r="B142" s="13"/>
      <c r="C142" s="13"/>
      <c r="D142" s="18"/>
      <c r="E142" s="19"/>
      <c r="F142" s="17" t="str">
        <f aca="false">IF(OR(B142="",D142=""),"",IFERROR((D142-INDEX(Requests!$K$2:$K$301,MATCH(B142,Requests!$A$2:$A$301,0)))*24,""))</f>
        <v/>
      </c>
      <c r="G142" s="15" t="str">
        <f aca="false">IF(F142="","",IF(F142&lt;=24,"Y","N"))</f>
        <v/>
      </c>
      <c r="H142" s="13"/>
      <c r="I142" s="15" t="str">
        <f aca="false">IF(D142="","",INT((D142-Settings!$B$2)/7)+1)</f>
        <v/>
      </c>
      <c r="J142" s="8"/>
      <c r="K142" s="8"/>
    </row>
    <row r="143" customFormat="false" ht="15" hidden="false" customHeight="false" outlineLevel="0" collapsed="false">
      <c r="A143" s="13"/>
      <c r="B143" s="13"/>
      <c r="C143" s="13"/>
      <c r="D143" s="18"/>
      <c r="E143" s="19"/>
      <c r="F143" s="17" t="str">
        <f aca="false">IF(OR(B143="",D143=""),"",IFERROR((D143-INDEX(Requests!$K$2:$K$301,MATCH(B143,Requests!$A$2:$A$301,0)))*24,""))</f>
        <v/>
      </c>
      <c r="G143" s="15" t="str">
        <f aca="false">IF(F143="","",IF(F143&lt;=24,"Y","N"))</f>
        <v/>
      </c>
      <c r="H143" s="13"/>
      <c r="I143" s="15" t="str">
        <f aca="false">IF(D143="","",INT((D143-Settings!$B$2)/7)+1)</f>
        <v/>
      </c>
      <c r="J143" s="8"/>
      <c r="K143" s="8"/>
    </row>
    <row r="144" customFormat="false" ht="15" hidden="false" customHeight="false" outlineLevel="0" collapsed="false">
      <c r="A144" s="13"/>
      <c r="B144" s="13"/>
      <c r="C144" s="13"/>
      <c r="D144" s="18"/>
      <c r="E144" s="19"/>
      <c r="F144" s="17" t="str">
        <f aca="false">IF(OR(B144="",D144=""),"",IFERROR((D144-INDEX(Requests!$K$2:$K$301,MATCH(B144,Requests!$A$2:$A$301,0)))*24,""))</f>
        <v/>
      </c>
      <c r="G144" s="15" t="str">
        <f aca="false">IF(F144="","",IF(F144&lt;=24,"Y","N"))</f>
        <v/>
      </c>
      <c r="H144" s="13"/>
      <c r="I144" s="15" t="str">
        <f aca="false">IF(D144="","",INT((D144-Settings!$B$2)/7)+1)</f>
        <v/>
      </c>
      <c r="J144" s="8"/>
      <c r="K144" s="8"/>
    </row>
    <row r="145" customFormat="false" ht="15" hidden="false" customHeight="false" outlineLevel="0" collapsed="false">
      <c r="A145" s="13"/>
      <c r="B145" s="13"/>
      <c r="C145" s="13"/>
      <c r="D145" s="18"/>
      <c r="E145" s="19"/>
      <c r="F145" s="17" t="str">
        <f aca="false">IF(OR(B145="",D145=""),"",IFERROR((D145-INDEX(Requests!$K$2:$K$301,MATCH(B145,Requests!$A$2:$A$301,0)))*24,""))</f>
        <v/>
      </c>
      <c r="G145" s="15" t="str">
        <f aca="false">IF(F145="","",IF(F145&lt;=24,"Y","N"))</f>
        <v/>
      </c>
      <c r="H145" s="13"/>
      <c r="I145" s="15" t="str">
        <f aca="false">IF(D145="","",INT((D145-Settings!$B$2)/7)+1)</f>
        <v/>
      </c>
      <c r="J145" s="8"/>
      <c r="K145" s="8"/>
    </row>
    <row r="146" customFormat="false" ht="15" hidden="false" customHeight="false" outlineLevel="0" collapsed="false">
      <c r="A146" s="13"/>
      <c r="B146" s="13"/>
      <c r="C146" s="13"/>
      <c r="D146" s="18"/>
      <c r="E146" s="19"/>
      <c r="F146" s="17" t="str">
        <f aca="false">IF(OR(B146="",D146=""),"",IFERROR((D146-INDEX(Requests!$K$2:$K$301,MATCH(B146,Requests!$A$2:$A$301,0)))*24,""))</f>
        <v/>
      </c>
      <c r="G146" s="15" t="str">
        <f aca="false">IF(F146="","",IF(F146&lt;=24,"Y","N"))</f>
        <v/>
      </c>
      <c r="H146" s="13"/>
      <c r="I146" s="15" t="str">
        <f aca="false">IF(D146="","",INT((D146-Settings!$B$2)/7)+1)</f>
        <v/>
      </c>
      <c r="J146" s="8"/>
      <c r="K146" s="8"/>
    </row>
    <row r="147" customFormat="false" ht="15" hidden="false" customHeight="false" outlineLevel="0" collapsed="false">
      <c r="A147" s="13"/>
      <c r="B147" s="13"/>
      <c r="C147" s="13"/>
      <c r="D147" s="18"/>
      <c r="E147" s="19"/>
      <c r="F147" s="17" t="str">
        <f aca="false">IF(OR(B147="",D147=""),"",IFERROR((D147-INDEX(Requests!$K$2:$K$301,MATCH(B147,Requests!$A$2:$A$301,0)))*24,""))</f>
        <v/>
      </c>
      <c r="G147" s="15" t="str">
        <f aca="false">IF(F147="","",IF(F147&lt;=24,"Y","N"))</f>
        <v/>
      </c>
      <c r="H147" s="13"/>
      <c r="I147" s="15" t="str">
        <f aca="false">IF(D147="","",INT((D147-Settings!$B$2)/7)+1)</f>
        <v/>
      </c>
      <c r="J147" s="8"/>
      <c r="K147" s="8"/>
    </row>
    <row r="148" customFormat="false" ht="15" hidden="false" customHeight="false" outlineLevel="0" collapsed="false">
      <c r="A148" s="13"/>
      <c r="B148" s="13"/>
      <c r="C148" s="13"/>
      <c r="D148" s="18"/>
      <c r="E148" s="19"/>
      <c r="F148" s="17" t="str">
        <f aca="false">IF(OR(B148="",D148=""),"",IFERROR((D148-INDEX(Requests!$K$2:$K$301,MATCH(B148,Requests!$A$2:$A$301,0)))*24,""))</f>
        <v/>
      </c>
      <c r="G148" s="15" t="str">
        <f aca="false">IF(F148="","",IF(F148&lt;=24,"Y","N"))</f>
        <v/>
      </c>
      <c r="H148" s="13"/>
      <c r="I148" s="15" t="str">
        <f aca="false">IF(D148="","",INT((D148-Settings!$B$2)/7)+1)</f>
        <v/>
      </c>
      <c r="J148" s="8"/>
      <c r="K148" s="8"/>
    </row>
    <row r="149" customFormat="false" ht="15" hidden="false" customHeight="false" outlineLevel="0" collapsed="false">
      <c r="A149" s="13"/>
      <c r="B149" s="13"/>
      <c r="C149" s="13"/>
      <c r="D149" s="18"/>
      <c r="E149" s="19"/>
      <c r="F149" s="17" t="str">
        <f aca="false">IF(OR(B149="",D149=""),"",IFERROR((D149-INDEX(Requests!$K$2:$K$301,MATCH(B149,Requests!$A$2:$A$301,0)))*24,""))</f>
        <v/>
      </c>
      <c r="G149" s="15" t="str">
        <f aca="false">IF(F149="","",IF(F149&lt;=24,"Y","N"))</f>
        <v/>
      </c>
      <c r="H149" s="13"/>
      <c r="I149" s="15" t="str">
        <f aca="false">IF(D149="","",INT((D149-Settings!$B$2)/7)+1)</f>
        <v/>
      </c>
      <c r="J149" s="8"/>
      <c r="K149" s="8"/>
    </row>
    <row r="150" customFormat="false" ht="15" hidden="false" customHeight="false" outlineLevel="0" collapsed="false">
      <c r="A150" s="13"/>
      <c r="B150" s="13"/>
      <c r="C150" s="13"/>
      <c r="D150" s="18"/>
      <c r="E150" s="19"/>
      <c r="F150" s="17" t="str">
        <f aca="false">IF(OR(B150="",D150=""),"",IFERROR((D150-INDEX(Requests!$K$2:$K$301,MATCH(B150,Requests!$A$2:$A$301,0)))*24,""))</f>
        <v/>
      </c>
      <c r="G150" s="15" t="str">
        <f aca="false">IF(F150="","",IF(F150&lt;=24,"Y","N"))</f>
        <v/>
      </c>
      <c r="H150" s="13"/>
      <c r="I150" s="15" t="str">
        <f aca="false">IF(D150="","",INT((D150-Settings!$B$2)/7)+1)</f>
        <v/>
      </c>
      <c r="J150" s="8"/>
      <c r="K150" s="8"/>
    </row>
    <row r="151" customFormat="false" ht="15" hidden="false" customHeight="false" outlineLevel="0" collapsed="false">
      <c r="A151" s="13"/>
      <c r="B151" s="13"/>
      <c r="C151" s="13"/>
      <c r="D151" s="18"/>
      <c r="E151" s="19"/>
      <c r="F151" s="17" t="str">
        <f aca="false">IF(OR(B151="",D151=""),"",IFERROR((D151-INDEX(Requests!$K$2:$K$301,MATCH(B151,Requests!$A$2:$A$301,0)))*24,""))</f>
        <v/>
      </c>
      <c r="G151" s="15" t="str">
        <f aca="false">IF(F151="","",IF(F151&lt;=24,"Y","N"))</f>
        <v/>
      </c>
      <c r="H151" s="13"/>
      <c r="I151" s="15" t="str">
        <f aca="false">IF(D151="","",INT((D151-Settings!$B$2)/7)+1)</f>
        <v/>
      </c>
      <c r="J151" s="8"/>
      <c r="K151" s="8"/>
    </row>
    <row r="152" customFormat="false" ht="15" hidden="false" customHeight="false" outlineLevel="0" collapsed="false">
      <c r="A152" s="13"/>
      <c r="B152" s="13"/>
      <c r="C152" s="13"/>
      <c r="D152" s="18"/>
      <c r="E152" s="19"/>
      <c r="F152" s="17" t="str">
        <f aca="false">IF(OR(B152="",D152=""),"",IFERROR((D152-INDEX(Requests!$K$2:$K$301,MATCH(B152,Requests!$A$2:$A$301,0)))*24,""))</f>
        <v/>
      </c>
      <c r="G152" s="15" t="str">
        <f aca="false">IF(F152="","",IF(F152&lt;=24,"Y","N"))</f>
        <v/>
      </c>
      <c r="H152" s="13"/>
      <c r="I152" s="15" t="str">
        <f aca="false">IF(D152="","",INT((D152-Settings!$B$2)/7)+1)</f>
        <v/>
      </c>
      <c r="J152" s="8"/>
      <c r="K152" s="8"/>
    </row>
    <row r="153" customFormat="false" ht="15" hidden="false" customHeight="false" outlineLevel="0" collapsed="false">
      <c r="A153" s="13"/>
      <c r="B153" s="13"/>
      <c r="C153" s="13"/>
      <c r="D153" s="18"/>
      <c r="E153" s="19"/>
      <c r="F153" s="17" t="str">
        <f aca="false">IF(OR(B153="",D153=""),"",IFERROR((D153-INDEX(Requests!$K$2:$K$301,MATCH(B153,Requests!$A$2:$A$301,0)))*24,""))</f>
        <v/>
      </c>
      <c r="G153" s="15" t="str">
        <f aca="false">IF(F153="","",IF(F153&lt;=24,"Y","N"))</f>
        <v/>
      </c>
      <c r="H153" s="13"/>
      <c r="I153" s="15" t="str">
        <f aca="false">IF(D153="","",INT((D153-Settings!$B$2)/7)+1)</f>
        <v/>
      </c>
      <c r="J153" s="8"/>
      <c r="K153" s="8"/>
    </row>
    <row r="154" customFormat="false" ht="15" hidden="false" customHeight="false" outlineLevel="0" collapsed="false">
      <c r="A154" s="13"/>
      <c r="B154" s="13"/>
      <c r="C154" s="13"/>
      <c r="D154" s="18"/>
      <c r="E154" s="19"/>
      <c r="F154" s="17" t="str">
        <f aca="false">IF(OR(B154="",D154=""),"",IFERROR((D154-INDEX(Requests!$K$2:$K$301,MATCH(B154,Requests!$A$2:$A$301,0)))*24,""))</f>
        <v/>
      </c>
      <c r="G154" s="15" t="str">
        <f aca="false">IF(F154="","",IF(F154&lt;=24,"Y","N"))</f>
        <v/>
      </c>
      <c r="H154" s="13"/>
      <c r="I154" s="15" t="str">
        <f aca="false">IF(D154="","",INT((D154-Settings!$B$2)/7)+1)</f>
        <v/>
      </c>
      <c r="J154" s="8"/>
      <c r="K154" s="8"/>
    </row>
    <row r="155" customFormat="false" ht="15" hidden="false" customHeight="false" outlineLevel="0" collapsed="false">
      <c r="A155" s="13"/>
      <c r="B155" s="13"/>
      <c r="C155" s="13"/>
      <c r="D155" s="18"/>
      <c r="E155" s="19"/>
      <c r="F155" s="17" t="str">
        <f aca="false">IF(OR(B155="",D155=""),"",IFERROR((D155-INDEX(Requests!$K$2:$K$301,MATCH(B155,Requests!$A$2:$A$301,0)))*24,""))</f>
        <v/>
      </c>
      <c r="G155" s="15" t="str">
        <f aca="false">IF(F155="","",IF(F155&lt;=24,"Y","N"))</f>
        <v/>
      </c>
      <c r="H155" s="13"/>
      <c r="I155" s="15" t="str">
        <f aca="false">IF(D155="","",INT((D155-Settings!$B$2)/7)+1)</f>
        <v/>
      </c>
      <c r="J155" s="8"/>
      <c r="K155" s="8"/>
    </row>
    <row r="156" customFormat="false" ht="15" hidden="false" customHeight="false" outlineLevel="0" collapsed="false">
      <c r="A156" s="13"/>
      <c r="B156" s="13"/>
      <c r="C156" s="13"/>
      <c r="D156" s="18"/>
      <c r="E156" s="19"/>
      <c r="F156" s="17" t="str">
        <f aca="false">IF(OR(B156="",D156=""),"",IFERROR((D156-INDEX(Requests!$K$2:$K$301,MATCH(B156,Requests!$A$2:$A$301,0)))*24,""))</f>
        <v/>
      </c>
      <c r="G156" s="15" t="str">
        <f aca="false">IF(F156="","",IF(F156&lt;=24,"Y","N"))</f>
        <v/>
      </c>
      <c r="H156" s="13"/>
      <c r="I156" s="15" t="str">
        <f aca="false">IF(D156="","",INT((D156-Settings!$B$2)/7)+1)</f>
        <v/>
      </c>
      <c r="J156" s="8"/>
      <c r="K156" s="8"/>
    </row>
    <row r="157" customFormat="false" ht="15" hidden="false" customHeight="false" outlineLevel="0" collapsed="false">
      <c r="A157" s="13"/>
      <c r="B157" s="13"/>
      <c r="C157" s="13"/>
      <c r="D157" s="18"/>
      <c r="E157" s="19"/>
      <c r="F157" s="17" t="str">
        <f aca="false">IF(OR(B157="",D157=""),"",IFERROR((D157-INDEX(Requests!$K$2:$K$301,MATCH(B157,Requests!$A$2:$A$301,0)))*24,""))</f>
        <v/>
      </c>
      <c r="G157" s="15" t="str">
        <f aca="false">IF(F157="","",IF(F157&lt;=24,"Y","N"))</f>
        <v/>
      </c>
      <c r="H157" s="13"/>
      <c r="I157" s="15" t="str">
        <f aca="false">IF(D157="","",INT((D157-Settings!$B$2)/7)+1)</f>
        <v/>
      </c>
      <c r="J157" s="8"/>
      <c r="K157" s="8"/>
    </row>
    <row r="158" customFormat="false" ht="15" hidden="false" customHeight="false" outlineLevel="0" collapsed="false">
      <c r="A158" s="13"/>
      <c r="B158" s="13"/>
      <c r="C158" s="13"/>
      <c r="D158" s="18"/>
      <c r="E158" s="19"/>
      <c r="F158" s="17" t="str">
        <f aca="false">IF(OR(B158="",D158=""),"",IFERROR((D158-INDEX(Requests!$K$2:$K$301,MATCH(B158,Requests!$A$2:$A$301,0)))*24,""))</f>
        <v/>
      </c>
      <c r="G158" s="15" t="str">
        <f aca="false">IF(F158="","",IF(F158&lt;=24,"Y","N"))</f>
        <v/>
      </c>
      <c r="H158" s="13"/>
      <c r="I158" s="15" t="str">
        <f aca="false">IF(D158="","",INT((D158-Settings!$B$2)/7)+1)</f>
        <v/>
      </c>
      <c r="J158" s="8"/>
      <c r="K158" s="8"/>
    </row>
    <row r="159" customFormat="false" ht="15" hidden="false" customHeight="false" outlineLevel="0" collapsed="false">
      <c r="A159" s="13"/>
      <c r="B159" s="13"/>
      <c r="C159" s="13"/>
      <c r="D159" s="18"/>
      <c r="E159" s="19"/>
      <c r="F159" s="17" t="str">
        <f aca="false">IF(OR(B159="",D159=""),"",IFERROR((D159-INDEX(Requests!$K$2:$K$301,MATCH(B159,Requests!$A$2:$A$301,0)))*24,""))</f>
        <v/>
      </c>
      <c r="G159" s="15" t="str">
        <f aca="false">IF(F159="","",IF(F159&lt;=24,"Y","N"))</f>
        <v/>
      </c>
      <c r="H159" s="13"/>
      <c r="I159" s="15" t="str">
        <f aca="false">IF(D159="","",INT((D159-Settings!$B$2)/7)+1)</f>
        <v/>
      </c>
      <c r="J159" s="8"/>
      <c r="K159" s="8"/>
    </row>
    <row r="160" customFormat="false" ht="15" hidden="false" customHeight="false" outlineLevel="0" collapsed="false">
      <c r="A160" s="13"/>
      <c r="B160" s="13"/>
      <c r="C160" s="13"/>
      <c r="D160" s="18"/>
      <c r="E160" s="19"/>
      <c r="F160" s="17" t="str">
        <f aca="false">IF(OR(B160="",D160=""),"",IFERROR((D160-INDEX(Requests!$K$2:$K$301,MATCH(B160,Requests!$A$2:$A$301,0)))*24,""))</f>
        <v/>
      </c>
      <c r="G160" s="15" t="str">
        <f aca="false">IF(F160="","",IF(F160&lt;=24,"Y","N"))</f>
        <v/>
      </c>
      <c r="H160" s="13"/>
      <c r="I160" s="15" t="str">
        <f aca="false">IF(D160="","",INT((D160-Settings!$B$2)/7)+1)</f>
        <v/>
      </c>
      <c r="J160" s="8"/>
      <c r="K160" s="8"/>
    </row>
    <row r="161" customFormat="false" ht="15" hidden="false" customHeight="false" outlineLevel="0" collapsed="false">
      <c r="A161" s="13"/>
      <c r="B161" s="13"/>
      <c r="C161" s="13"/>
      <c r="D161" s="18"/>
      <c r="E161" s="19"/>
      <c r="F161" s="17" t="str">
        <f aca="false">IF(OR(B161="",D161=""),"",IFERROR((D161-INDEX(Requests!$K$2:$K$301,MATCH(B161,Requests!$A$2:$A$301,0)))*24,""))</f>
        <v/>
      </c>
      <c r="G161" s="15" t="str">
        <f aca="false">IF(F161="","",IF(F161&lt;=24,"Y","N"))</f>
        <v/>
      </c>
      <c r="H161" s="13"/>
      <c r="I161" s="15" t="str">
        <f aca="false">IF(D161="","",INT((D161-Settings!$B$2)/7)+1)</f>
        <v/>
      </c>
      <c r="J161" s="8"/>
      <c r="K161" s="8"/>
    </row>
    <row r="162" customFormat="false" ht="15" hidden="false" customHeight="false" outlineLevel="0" collapsed="false">
      <c r="A162" s="13"/>
      <c r="B162" s="13"/>
      <c r="C162" s="13"/>
      <c r="D162" s="18"/>
      <c r="E162" s="19"/>
      <c r="F162" s="17" t="str">
        <f aca="false">IF(OR(B162="",D162=""),"",IFERROR((D162-INDEX(Requests!$K$2:$K$301,MATCH(B162,Requests!$A$2:$A$301,0)))*24,""))</f>
        <v/>
      </c>
      <c r="G162" s="15" t="str">
        <f aca="false">IF(F162="","",IF(F162&lt;=24,"Y","N"))</f>
        <v/>
      </c>
      <c r="H162" s="13"/>
      <c r="I162" s="15" t="str">
        <f aca="false">IF(D162="","",INT((D162-Settings!$B$2)/7)+1)</f>
        <v/>
      </c>
      <c r="J162" s="8"/>
      <c r="K162" s="8"/>
    </row>
    <row r="163" customFormat="false" ht="15" hidden="false" customHeight="false" outlineLevel="0" collapsed="false">
      <c r="A163" s="13"/>
      <c r="B163" s="13"/>
      <c r="C163" s="13"/>
      <c r="D163" s="18"/>
      <c r="E163" s="19"/>
      <c r="F163" s="17" t="str">
        <f aca="false">IF(OR(B163="",D163=""),"",IFERROR((D163-INDEX(Requests!$K$2:$K$301,MATCH(B163,Requests!$A$2:$A$301,0)))*24,""))</f>
        <v/>
      </c>
      <c r="G163" s="15" t="str">
        <f aca="false">IF(F163="","",IF(F163&lt;=24,"Y","N"))</f>
        <v/>
      </c>
      <c r="H163" s="13"/>
      <c r="I163" s="15" t="str">
        <f aca="false">IF(D163="","",INT((D163-Settings!$B$2)/7)+1)</f>
        <v/>
      </c>
      <c r="J163" s="8"/>
      <c r="K163" s="8"/>
    </row>
    <row r="164" customFormat="false" ht="15" hidden="false" customHeight="false" outlineLevel="0" collapsed="false">
      <c r="A164" s="13"/>
      <c r="B164" s="13"/>
      <c r="C164" s="13"/>
      <c r="D164" s="18"/>
      <c r="E164" s="19"/>
      <c r="F164" s="17" t="str">
        <f aca="false">IF(OR(B164="",D164=""),"",IFERROR((D164-INDEX(Requests!$K$2:$K$301,MATCH(B164,Requests!$A$2:$A$301,0)))*24,""))</f>
        <v/>
      </c>
      <c r="G164" s="15" t="str">
        <f aca="false">IF(F164="","",IF(F164&lt;=24,"Y","N"))</f>
        <v/>
      </c>
      <c r="H164" s="13"/>
      <c r="I164" s="15" t="str">
        <f aca="false">IF(D164="","",INT((D164-Settings!$B$2)/7)+1)</f>
        <v/>
      </c>
      <c r="J164" s="8"/>
      <c r="K164" s="8"/>
    </row>
    <row r="165" customFormat="false" ht="15" hidden="false" customHeight="false" outlineLevel="0" collapsed="false">
      <c r="A165" s="13"/>
      <c r="B165" s="13"/>
      <c r="C165" s="13"/>
      <c r="D165" s="18"/>
      <c r="E165" s="19"/>
      <c r="F165" s="17" t="str">
        <f aca="false">IF(OR(B165="",D165=""),"",IFERROR((D165-INDEX(Requests!$K$2:$K$301,MATCH(B165,Requests!$A$2:$A$301,0)))*24,""))</f>
        <v/>
      </c>
      <c r="G165" s="15" t="str">
        <f aca="false">IF(F165="","",IF(F165&lt;=24,"Y","N"))</f>
        <v/>
      </c>
      <c r="H165" s="13"/>
      <c r="I165" s="15" t="str">
        <f aca="false">IF(D165="","",INT((D165-Settings!$B$2)/7)+1)</f>
        <v/>
      </c>
      <c r="J165" s="8"/>
      <c r="K165" s="8"/>
    </row>
    <row r="166" customFormat="false" ht="15" hidden="false" customHeight="false" outlineLevel="0" collapsed="false">
      <c r="A166" s="13"/>
      <c r="B166" s="13"/>
      <c r="C166" s="13"/>
      <c r="D166" s="18"/>
      <c r="E166" s="19"/>
      <c r="F166" s="17" t="str">
        <f aca="false">IF(OR(B166="",D166=""),"",IFERROR((D166-INDEX(Requests!$K$2:$K$301,MATCH(B166,Requests!$A$2:$A$301,0)))*24,""))</f>
        <v/>
      </c>
      <c r="G166" s="15" t="str">
        <f aca="false">IF(F166="","",IF(F166&lt;=24,"Y","N"))</f>
        <v/>
      </c>
      <c r="H166" s="13"/>
      <c r="I166" s="15" t="str">
        <f aca="false">IF(D166="","",INT((D166-Settings!$B$2)/7)+1)</f>
        <v/>
      </c>
      <c r="J166" s="8"/>
      <c r="K166" s="8"/>
    </row>
    <row r="167" customFormat="false" ht="15" hidden="false" customHeight="false" outlineLevel="0" collapsed="false">
      <c r="A167" s="13"/>
      <c r="B167" s="13"/>
      <c r="C167" s="13"/>
      <c r="D167" s="18"/>
      <c r="E167" s="19"/>
      <c r="F167" s="17" t="str">
        <f aca="false">IF(OR(B167="",D167=""),"",IFERROR((D167-INDEX(Requests!$K$2:$K$301,MATCH(B167,Requests!$A$2:$A$301,0)))*24,""))</f>
        <v/>
      </c>
      <c r="G167" s="15" t="str">
        <f aca="false">IF(F167="","",IF(F167&lt;=24,"Y","N"))</f>
        <v/>
      </c>
      <c r="H167" s="13"/>
      <c r="I167" s="15" t="str">
        <f aca="false">IF(D167="","",INT((D167-Settings!$B$2)/7)+1)</f>
        <v/>
      </c>
      <c r="J167" s="8"/>
      <c r="K167" s="8"/>
    </row>
    <row r="168" customFormat="false" ht="15" hidden="false" customHeight="false" outlineLevel="0" collapsed="false">
      <c r="A168" s="13"/>
      <c r="B168" s="13"/>
      <c r="C168" s="13"/>
      <c r="D168" s="18"/>
      <c r="E168" s="19"/>
      <c r="F168" s="17" t="str">
        <f aca="false">IF(OR(B168="",D168=""),"",IFERROR((D168-INDEX(Requests!$K$2:$K$301,MATCH(B168,Requests!$A$2:$A$301,0)))*24,""))</f>
        <v/>
      </c>
      <c r="G168" s="15" t="str">
        <f aca="false">IF(F168="","",IF(F168&lt;=24,"Y","N"))</f>
        <v/>
      </c>
      <c r="H168" s="13"/>
      <c r="I168" s="15" t="str">
        <f aca="false">IF(D168="","",INT((D168-Settings!$B$2)/7)+1)</f>
        <v/>
      </c>
      <c r="J168" s="8"/>
      <c r="K168" s="8"/>
    </row>
    <row r="169" customFormat="false" ht="15" hidden="false" customHeight="false" outlineLevel="0" collapsed="false">
      <c r="A169" s="13"/>
      <c r="B169" s="13"/>
      <c r="C169" s="13"/>
      <c r="D169" s="18"/>
      <c r="E169" s="19"/>
      <c r="F169" s="17" t="str">
        <f aca="false">IF(OR(B169="",D169=""),"",IFERROR((D169-INDEX(Requests!$K$2:$K$301,MATCH(B169,Requests!$A$2:$A$301,0)))*24,""))</f>
        <v/>
      </c>
      <c r="G169" s="15" t="str">
        <f aca="false">IF(F169="","",IF(F169&lt;=24,"Y","N"))</f>
        <v/>
      </c>
      <c r="H169" s="13"/>
      <c r="I169" s="15" t="str">
        <f aca="false">IF(D169="","",INT((D169-Settings!$B$2)/7)+1)</f>
        <v/>
      </c>
      <c r="J169" s="8"/>
      <c r="K169" s="8"/>
    </row>
    <row r="170" customFormat="false" ht="15" hidden="false" customHeight="false" outlineLevel="0" collapsed="false">
      <c r="A170" s="13"/>
      <c r="B170" s="13"/>
      <c r="C170" s="13"/>
      <c r="D170" s="18"/>
      <c r="E170" s="19"/>
      <c r="F170" s="17" t="str">
        <f aca="false">IF(OR(B170="",D170=""),"",IFERROR((D170-INDEX(Requests!$K$2:$K$301,MATCH(B170,Requests!$A$2:$A$301,0)))*24,""))</f>
        <v/>
      </c>
      <c r="G170" s="15" t="str">
        <f aca="false">IF(F170="","",IF(F170&lt;=24,"Y","N"))</f>
        <v/>
      </c>
      <c r="H170" s="13"/>
      <c r="I170" s="15" t="str">
        <f aca="false">IF(D170="","",INT((D170-Settings!$B$2)/7)+1)</f>
        <v/>
      </c>
      <c r="J170" s="8"/>
      <c r="K170" s="8"/>
    </row>
    <row r="171" customFormat="false" ht="15" hidden="false" customHeight="false" outlineLevel="0" collapsed="false">
      <c r="A171" s="13"/>
      <c r="B171" s="13"/>
      <c r="C171" s="13"/>
      <c r="D171" s="18"/>
      <c r="E171" s="19"/>
      <c r="F171" s="17" t="str">
        <f aca="false">IF(OR(B171="",D171=""),"",IFERROR((D171-INDEX(Requests!$K$2:$K$301,MATCH(B171,Requests!$A$2:$A$301,0)))*24,""))</f>
        <v/>
      </c>
      <c r="G171" s="15" t="str">
        <f aca="false">IF(F171="","",IF(F171&lt;=24,"Y","N"))</f>
        <v/>
      </c>
      <c r="H171" s="13"/>
      <c r="I171" s="15" t="str">
        <f aca="false">IF(D171="","",INT((D171-Settings!$B$2)/7)+1)</f>
        <v/>
      </c>
      <c r="J171" s="8"/>
      <c r="K171" s="8"/>
    </row>
    <row r="172" customFormat="false" ht="15" hidden="false" customHeight="false" outlineLevel="0" collapsed="false">
      <c r="A172" s="13"/>
      <c r="B172" s="13"/>
      <c r="C172" s="13"/>
      <c r="D172" s="18"/>
      <c r="E172" s="19"/>
      <c r="F172" s="17" t="str">
        <f aca="false">IF(OR(B172="",D172=""),"",IFERROR((D172-INDEX(Requests!$K$2:$K$301,MATCH(B172,Requests!$A$2:$A$301,0)))*24,""))</f>
        <v/>
      </c>
      <c r="G172" s="15" t="str">
        <f aca="false">IF(F172="","",IF(F172&lt;=24,"Y","N"))</f>
        <v/>
      </c>
      <c r="H172" s="13"/>
      <c r="I172" s="15" t="str">
        <f aca="false">IF(D172="","",INT((D172-Settings!$B$2)/7)+1)</f>
        <v/>
      </c>
      <c r="J172" s="8"/>
      <c r="K172" s="8"/>
    </row>
    <row r="173" customFormat="false" ht="15" hidden="false" customHeight="false" outlineLevel="0" collapsed="false">
      <c r="A173" s="13"/>
      <c r="B173" s="13"/>
      <c r="C173" s="13"/>
      <c r="D173" s="18"/>
      <c r="E173" s="19"/>
      <c r="F173" s="17" t="str">
        <f aca="false">IF(OR(B173="",D173=""),"",IFERROR((D173-INDEX(Requests!$K$2:$K$301,MATCH(B173,Requests!$A$2:$A$301,0)))*24,""))</f>
        <v/>
      </c>
      <c r="G173" s="15" t="str">
        <f aca="false">IF(F173="","",IF(F173&lt;=24,"Y","N"))</f>
        <v/>
      </c>
      <c r="H173" s="13"/>
      <c r="I173" s="15" t="str">
        <f aca="false">IF(D173="","",INT((D173-Settings!$B$2)/7)+1)</f>
        <v/>
      </c>
      <c r="J173" s="8"/>
      <c r="K173" s="8"/>
    </row>
    <row r="174" customFormat="false" ht="15" hidden="false" customHeight="false" outlineLevel="0" collapsed="false">
      <c r="A174" s="13"/>
      <c r="B174" s="13"/>
      <c r="C174" s="13"/>
      <c r="D174" s="18"/>
      <c r="E174" s="19"/>
      <c r="F174" s="17" t="str">
        <f aca="false">IF(OR(B174="",D174=""),"",IFERROR((D174-INDEX(Requests!$K$2:$K$301,MATCH(B174,Requests!$A$2:$A$301,0)))*24,""))</f>
        <v/>
      </c>
      <c r="G174" s="15" t="str">
        <f aca="false">IF(F174="","",IF(F174&lt;=24,"Y","N"))</f>
        <v/>
      </c>
      <c r="H174" s="13"/>
      <c r="I174" s="15" t="str">
        <f aca="false">IF(D174="","",INT((D174-Settings!$B$2)/7)+1)</f>
        <v/>
      </c>
      <c r="J174" s="8"/>
      <c r="K174" s="8"/>
    </row>
    <row r="175" customFormat="false" ht="15" hidden="false" customHeight="false" outlineLevel="0" collapsed="false">
      <c r="A175" s="13"/>
      <c r="B175" s="13"/>
      <c r="C175" s="13"/>
      <c r="D175" s="18"/>
      <c r="E175" s="19"/>
      <c r="F175" s="17" t="str">
        <f aca="false">IF(OR(B175="",D175=""),"",IFERROR((D175-INDEX(Requests!$K$2:$K$301,MATCH(B175,Requests!$A$2:$A$301,0)))*24,""))</f>
        <v/>
      </c>
      <c r="G175" s="15" t="str">
        <f aca="false">IF(F175="","",IF(F175&lt;=24,"Y","N"))</f>
        <v/>
      </c>
      <c r="H175" s="13"/>
      <c r="I175" s="15" t="str">
        <f aca="false">IF(D175="","",INT((D175-Settings!$B$2)/7)+1)</f>
        <v/>
      </c>
      <c r="J175" s="8"/>
      <c r="K175" s="8"/>
    </row>
    <row r="176" customFormat="false" ht="15" hidden="false" customHeight="false" outlineLevel="0" collapsed="false">
      <c r="A176" s="13"/>
      <c r="B176" s="13"/>
      <c r="C176" s="13"/>
      <c r="D176" s="18"/>
      <c r="E176" s="19"/>
      <c r="F176" s="17" t="str">
        <f aca="false">IF(OR(B176="",D176=""),"",IFERROR((D176-INDEX(Requests!$K$2:$K$301,MATCH(B176,Requests!$A$2:$A$301,0)))*24,""))</f>
        <v/>
      </c>
      <c r="G176" s="15" t="str">
        <f aca="false">IF(F176="","",IF(F176&lt;=24,"Y","N"))</f>
        <v/>
      </c>
      <c r="H176" s="13"/>
      <c r="I176" s="15" t="str">
        <f aca="false">IF(D176="","",INT((D176-Settings!$B$2)/7)+1)</f>
        <v/>
      </c>
      <c r="J176" s="8"/>
      <c r="K176" s="8"/>
    </row>
    <row r="177" customFormat="false" ht="15" hidden="false" customHeight="false" outlineLevel="0" collapsed="false">
      <c r="A177" s="13"/>
      <c r="B177" s="13"/>
      <c r="C177" s="13"/>
      <c r="D177" s="18"/>
      <c r="E177" s="19"/>
      <c r="F177" s="17" t="str">
        <f aca="false">IF(OR(B177="",D177=""),"",IFERROR((D177-INDEX(Requests!$K$2:$K$301,MATCH(B177,Requests!$A$2:$A$301,0)))*24,""))</f>
        <v/>
      </c>
      <c r="G177" s="15" t="str">
        <f aca="false">IF(F177="","",IF(F177&lt;=24,"Y","N"))</f>
        <v/>
      </c>
      <c r="H177" s="13"/>
      <c r="I177" s="15" t="str">
        <f aca="false">IF(D177="","",INT((D177-Settings!$B$2)/7)+1)</f>
        <v/>
      </c>
      <c r="J177" s="8"/>
      <c r="K177" s="8"/>
    </row>
    <row r="178" customFormat="false" ht="15" hidden="false" customHeight="false" outlineLevel="0" collapsed="false">
      <c r="A178" s="13"/>
      <c r="B178" s="13"/>
      <c r="C178" s="13"/>
      <c r="D178" s="18"/>
      <c r="E178" s="19"/>
      <c r="F178" s="17" t="str">
        <f aca="false">IF(OR(B178="",D178=""),"",IFERROR((D178-INDEX(Requests!$K$2:$K$301,MATCH(B178,Requests!$A$2:$A$301,0)))*24,""))</f>
        <v/>
      </c>
      <c r="G178" s="15" t="str">
        <f aca="false">IF(F178="","",IF(F178&lt;=24,"Y","N"))</f>
        <v/>
      </c>
      <c r="H178" s="13"/>
      <c r="I178" s="15" t="str">
        <f aca="false">IF(D178="","",INT((D178-Settings!$B$2)/7)+1)</f>
        <v/>
      </c>
      <c r="J178" s="8"/>
      <c r="K178" s="8"/>
    </row>
    <row r="179" customFormat="false" ht="15" hidden="false" customHeight="false" outlineLevel="0" collapsed="false">
      <c r="A179" s="13"/>
      <c r="B179" s="13"/>
      <c r="C179" s="13"/>
      <c r="D179" s="18"/>
      <c r="E179" s="19"/>
      <c r="F179" s="17" t="str">
        <f aca="false">IF(OR(B179="",D179=""),"",IFERROR((D179-INDEX(Requests!$K$2:$K$301,MATCH(B179,Requests!$A$2:$A$301,0)))*24,""))</f>
        <v/>
      </c>
      <c r="G179" s="15" t="str">
        <f aca="false">IF(F179="","",IF(F179&lt;=24,"Y","N"))</f>
        <v/>
      </c>
      <c r="H179" s="13"/>
      <c r="I179" s="15" t="str">
        <f aca="false">IF(D179="","",INT((D179-Settings!$B$2)/7)+1)</f>
        <v/>
      </c>
      <c r="J179" s="8"/>
      <c r="K179" s="8"/>
    </row>
    <row r="180" customFormat="false" ht="15" hidden="false" customHeight="false" outlineLevel="0" collapsed="false">
      <c r="A180" s="13"/>
      <c r="B180" s="13"/>
      <c r="C180" s="13"/>
      <c r="D180" s="18"/>
      <c r="E180" s="19"/>
      <c r="F180" s="17" t="str">
        <f aca="false">IF(OR(B180="",D180=""),"",IFERROR((D180-INDEX(Requests!$K$2:$K$301,MATCH(B180,Requests!$A$2:$A$301,0)))*24,""))</f>
        <v/>
      </c>
      <c r="G180" s="15" t="str">
        <f aca="false">IF(F180="","",IF(F180&lt;=24,"Y","N"))</f>
        <v/>
      </c>
      <c r="H180" s="13"/>
      <c r="I180" s="15" t="str">
        <f aca="false">IF(D180="","",INT((D180-Settings!$B$2)/7)+1)</f>
        <v/>
      </c>
      <c r="J180" s="8"/>
      <c r="K180" s="8"/>
    </row>
    <row r="181" customFormat="false" ht="15" hidden="false" customHeight="false" outlineLevel="0" collapsed="false">
      <c r="A181" s="13"/>
      <c r="B181" s="13"/>
      <c r="C181" s="13"/>
      <c r="D181" s="18"/>
      <c r="E181" s="19"/>
      <c r="F181" s="17" t="str">
        <f aca="false">IF(OR(B181="",D181=""),"",IFERROR((D181-INDEX(Requests!$K$2:$K$301,MATCH(B181,Requests!$A$2:$A$301,0)))*24,""))</f>
        <v/>
      </c>
      <c r="G181" s="15" t="str">
        <f aca="false">IF(F181="","",IF(F181&lt;=24,"Y","N"))</f>
        <v/>
      </c>
      <c r="H181" s="13"/>
      <c r="I181" s="15" t="str">
        <f aca="false">IF(D181="","",INT((D181-Settings!$B$2)/7)+1)</f>
        <v/>
      </c>
      <c r="J181" s="8"/>
      <c r="K181" s="8"/>
    </row>
    <row r="182" customFormat="false" ht="15" hidden="false" customHeight="false" outlineLevel="0" collapsed="false">
      <c r="A182" s="13"/>
      <c r="B182" s="13"/>
      <c r="C182" s="13"/>
      <c r="D182" s="18"/>
      <c r="E182" s="19"/>
      <c r="F182" s="17" t="str">
        <f aca="false">IF(OR(B182="",D182=""),"",IFERROR((D182-INDEX(Requests!$K$2:$K$301,MATCH(B182,Requests!$A$2:$A$301,0)))*24,""))</f>
        <v/>
      </c>
      <c r="G182" s="15" t="str">
        <f aca="false">IF(F182="","",IF(F182&lt;=24,"Y","N"))</f>
        <v/>
      </c>
      <c r="H182" s="13"/>
      <c r="I182" s="15" t="str">
        <f aca="false">IF(D182="","",INT((D182-Settings!$B$2)/7)+1)</f>
        <v/>
      </c>
      <c r="J182" s="8"/>
      <c r="K182" s="8"/>
    </row>
    <row r="183" customFormat="false" ht="15" hidden="false" customHeight="false" outlineLevel="0" collapsed="false">
      <c r="A183" s="13"/>
      <c r="B183" s="13"/>
      <c r="C183" s="13"/>
      <c r="D183" s="18"/>
      <c r="E183" s="19"/>
      <c r="F183" s="17" t="str">
        <f aca="false">IF(OR(B183="",D183=""),"",IFERROR((D183-INDEX(Requests!$K$2:$K$301,MATCH(B183,Requests!$A$2:$A$301,0)))*24,""))</f>
        <v/>
      </c>
      <c r="G183" s="15" t="str">
        <f aca="false">IF(F183="","",IF(F183&lt;=24,"Y","N"))</f>
        <v/>
      </c>
      <c r="H183" s="13"/>
      <c r="I183" s="15" t="str">
        <f aca="false">IF(D183="","",INT((D183-Settings!$B$2)/7)+1)</f>
        <v/>
      </c>
      <c r="J183" s="8"/>
      <c r="K183" s="8"/>
    </row>
    <row r="184" customFormat="false" ht="15" hidden="false" customHeight="false" outlineLevel="0" collapsed="false">
      <c r="A184" s="13"/>
      <c r="B184" s="13"/>
      <c r="C184" s="13"/>
      <c r="D184" s="18"/>
      <c r="E184" s="19"/>
      <c r="F184" s="17" t="str">
        <f aca="false">IF(OR(B184="",D184=""),"",IFERROR((D184-INDEX(Requests!$K$2:$K$301,MATCH(B184,Requests!$A$2:$A$301,0)))*24,""))</f>
        <v/>
      </c>
      <c r="G184" s="15" t="str">
        <f aca="false">IF(F184="","",IF(F184&lt;=24,"Y","N"))</f>
        <v/>
      </c>
      <c r="H184" s="13"/>
      <c r="I184" s="15" t="str">
        <f aca="false">IF(D184="","",INT((D184-Settings!$B$2)/7)+1)</f>
        <v/>
      </c>
      <c r="J184" s="8"/>
      <c r="K184" s="8"/>
    </row>
    <row r="185" customFormat="false" ht="15" hidden="false" customHeight="false" outlineLevel="0" collapsed="false">
      <c r="A185" s="13"/>
      <c r="B185" s="13"/>
      <c r="C185" s="13"/>
      <c r="D185" s="18"/>
      <c r="E185" s="19"/>
      <c r="F185" s="17" t="str">
        <f aca="false">IF(OR(B185="",D185=""),"",IFERROR((D185-INDEX(Requests!$K$2:$K$301,MATCH(B185,Requests!$A$2:$A$301,0)))*24,""))</f>
        <v/>
      </c>
      <c r="G185" s="15" t="str">
        <f aca="false">IF(F185="","",IF(F185&lt;=24,"Y","N"))</f>
        <v/>
      </c>
      <c r="H185" s="13"/>
      <c r="I185" s="15" t="str">
        <f aca="false">IF(D185="","",INT((D185-Settings!$B$2)/7)+1)</f>
        <v/>
      </c>
      <c r="J185" s="8"/>
      <c r="K185" s="8"/>
    </row>
    <row r="186" customFormat="false" ht="15" hidden="false" customHeight="false" outlineLevel="0" collapsed="false">
      <c r="A186" s="13"/>
      <c r="B186" s="13"/>
      <c r="C186" s="13"/>
      <c r="D186" s="18"/>
      <c r="E186" s="19"/>
      <c r="F186" s="17" t="str">
        <f aca="false">IF(OR(B186="",D186=""),"",IFERROR((D186-INDEX(Requests!$K$2:$K$301,MATCH(B186,Requests!$A$2:$A$301,0)))*24,""))</f>
        <v/>
      </c>
      <c r="G186" s="15" t="str">
        <f aca="false">IF(F186="","",IF(F186&lt;=24,"Y","N"))</f>
        <v/>
      </c>
      <c r="H186" s="13"/>
      <c r="I186" s="15" t="str">
        <f aca="false">IF(D186="","",INT((D186-Settings!$B$2)/7)+1)</f>
        <v/>
      </c>
      <c r="J186" s="8"/>
      <c r="K186" s="8"/>
    </row>
    <row r="187" customFormat="false" ht="15" hidden="false" customHeight="false" outlineLevel="0" collapsed="false">
      <c r="A187" s="13"/>
      <c r="B187" s="13"/>
      <c r="C187" s="13"/>
      <c r="D187" s="18"/>
      <c r="E187" s="19"/>
      <c r="F187" s="17" t="str">
        <f aca="false">IF(OR(B187="",D187=""),"",IFERROR((D187-INDEX(Requests!$K$2:$K$301,MATCH(B187,Requests!$A$2:$A$301,0)))*24,""))</f>
        <v/>
      </c>
      <c r="G187" s="15" t="str">
        <f aca="false">IF(F187="","",IF(F187&lt;=24,"Y","N"))</f>
        <v/>
      </c>
      <c r="H187" s="13"/>
      <c r="I187" s="15" t="str">
        <f aca="false">IF(D187="","",INT((D187-Settings!$B$2)/7)+1)</f>
        <v/>
      </c>
      <c r="J187" s="8"/>
      <c r="K187" s="8"/>
    </row>
    <row r="188" customFormat="false" ht="15" hidden="false" customHeight="false" outlineLevel="0" collapsed="false">
      <c r="A188" s="13"/>
      <c r="B188" s="13"/>
      <c r="C188" s="13"/>
      <c r="D188" s="18"/>
      <c r="E188" s="19"/>
      <c r="F188" s="17" t="str">
        <f aca="false">IF(OR(B188="",D188=""),"",IFERROR((D188-INDEX(Requests!$K$2:$K$301,MATCH(B188,Requests!$A$2:$A$301,0)))*24,""))</f>
        <v/>
      </c>
      <c r="G188" s="15" t="str">
        <f aca="false">IF(F188="","",IF(F188&lt;=24,"Y","N"))</f>
        <v/>
      </c>
      <c r="H188" s="13"/>
      <c r="I188" s="15" t="str">
        <f aca="false">IF(D188="","",INT((D188-Settings!$B$2)/7)+1)</f>
        <v/>
      </c>
      <c r="J188" s="8"/>
      <c r="K188" s="8"/>
    </row>
    <row r="189" customFormat="false" ht="15" hidden="false" customHeight="false" outlineLevel="0" collapsed="false">
      <c r="A189" s="13"/>
      <c r="B189" s="13"/>
      <c r="C189" s="13"/>
      <c r="D189" s="18"/>
      <c r="E189" s="19"/>
      <c r="F189" s="17" t="str">
        <f aca="false">IF(OR(B189="",D189=""),"",IFERROR((D189-INDEX(Requests!$K$2:$K$301,MATCH(B189,Requests!$A$2:$A$301,0)))*24,""))</f>
        <v/>
      </c>
      <c r="G189" s="15" t="str">
        <f aca="false">IF(F189="","",IF(F189&lt;=24,"Y","N"))</f>
        <v/>
      </c>
      <c r="H189" s="13"/>
      <c r="I189" s="15" t="str">
        <f aca="false">IF(D189="","",INT((D189-Settings!$B$2)/7)+1)</f>
        <v/>
      </c>
      <c r="J189" s="8"/>
      <c r="K189" s="8"/>
    </row>
    <row r="190" customFormat="false" ht="15" hidden="false" customHeight="false" outlineLevel="0" collapsed="false">
      <c r="A190" s="13"/>
      <c r="B190" s="13"/>
      <c r="C190" s="13"/>
      <c r="D190" s="18"/>
      <c r="E190" s="19"/>
      <c r="F190" s="17" t="str">
        <f aca="false">IF(OR(B190="",D190=""),"",IFERROR((D190-INDEX(Requests!$K$2:$K$301,MATCH(B190,Requests!$A$2:$A$301,0)))*24,""))</f>
        <v/>
      </c>
      <c r="G190" s="15" t="str">
        <f aca="false">IF(F190="","",IF(F190&lt;=24,"Y","N"))</f>
        <v/>
      </c>
      <c r="H190" s="13"/>
      <c r="I190" s="15" t="str">
        <f aca="false">IF(D190="","",INT((D190-Settings!$B$2)/7)+1)</f>
        <v/>
      </c>
      <c r="J190" s="8"/>
      <c r="K190" s="8"/>
    </row>
    <row r="191" customFormat="false" ht="15" hidden="false" customHeight="false" outlineLevel="0" collapsed="false">
      <c r="A191" s="13"/>
      <c r="B191" s="13"/>
      <c r="C191" s="13"/>
      <c r="D191" s="18"/>
      <c r="E191" s="19"/>
      <c r="F191" s="17" t="str">
        <f aca="false">IF(OR(B191="",D191=""),"",IFERROR((D191-INDEX(Requests!$K$2:$K$301,MATCH(B191,Requests!$A$2:$A$301,0)))*24,""))</f>
        <v/>
      </c>
      <c r="G191" s="15" t="str">
        <f aca="false">IF(F191="","",IF(F191&lt;=24,"Y","N"))</f>
        <v/>
      </c>
      <c r="H191" s="13"/>
      <c r="I191" s="15" t="str">
        <f aca="false">IF(D191="","",INT((D191-Settings!$B$2)/7)+1)</f>
        <v/>
      </c>
      <c r="J191" s="8"/>
      <c r="K191" s="8"/>
    </row>
    <row r="192" customFormat="false" ht="15" hidden="false" customHeight="false" outlineLevel="0" collapsed="false">
      <c r="A192" s="13"/>
      <c r="B192" s="13"/>
      <c r="C192" s="13"/>
      <c r="D192" s="18"/>
      <c r="E192" s="19"/>
      <c r="F192" s="17" t="str">
        <f aca="false">IF(OR(B192="",D192=""),"",IFERROR((D192-INDEX(Requests!$K$2:$K$301,MATCH(B192,Requests!$A$2:$A$301,0)))*24,""))</f>
        <v/>
      </c>
      <c r="G192" s="15" t="str">
        <f aca="false">IF(F192="","",IF(F192&lt;=24,"Y","N"))</f>
        <v/>
      </c>
      <c r="H192" s="13"/>
      <c r="I192" s="15" t="str">
        <f aca="false">IF(D192="","",INT((D192-Settings!$B$2)/7)+1)</f>
        <v/>
      </c>
      <c r="J192" s="8"/>
      <c r="K192" s="8"/>
    </row>
    <row r="193" customFormat="false" ht="15" hidden="false" customHeight="false" outlineLevel="0" collapsed="false">
      <c r="A193" s="13"/>
      <c r="B193" s="13"/>
      <c r="C193" s="13"/>
      <c r="D193" s="18"/>
      <c r="E193" s="19"/>
      <c r="F193" s="17" t="str">
        <f aca="false">IF(OR(B193="",D193=""),"",IFERROR((D193-INDEX(Requests!$K$2:$K$301,MATCH(B193,Requests!$A$2:$A$301,0)))*24,""))</f>
        <v/>
      </c>
      <c r="G193" s="15" t="str">
        <f aca="false">IF(F193="","",IF(F193&lt;=24,"Y","N"))</f>
        <v/>
      </c>
      <c r="H193" s="13"/>
      <c r="I193" s="15" t="str">
        <f aca="false">IF(D193="","",INT((D193-Settings!$B$2)/7)+1)</f>
        <v/>
      </c>
      <c r="J193" s="8"/>
      <c r="K193" s="8"/>
    </row>
    <row r="194" customFormat="false" ht="15" hidden="false" customHeight="false" outlineLevel="0" collapsed="false">
      <c r="A194" s="13"/>
      <c r="B194" s="13"/>
      <c r="C194" s="13"/>
      <c r="D194" s="18"/>
      <c r="E194" s="19"/>
      <c r="F194" s="17" t="str">
        <f aca="false">IF(OR(B194="",D194=""),"",IFERROR((D194-INDEX(Requests!$K$2:$K$301,MATCH(B194,Requests!$A$2:$A$301,0)))*24,""))</f>
        <v/>
      </c>
      <c r="G194" s="15" t="str">
        <f aca="false">IF(F194="","",IF(F194&lt;=24,"Y","N"))</f>
        <v/>
      </c>
      <c r="H194" s="13"/>
      <c r="I194" s="15" t="str">
        <f aca="false">IF(D194="","",INT((D194-Settings!$B$2)/7)+1)</f>
        <v/>
      </c>
      <c r="J194" s="8"/>
      <c r="K194" s="8"/>
    </row>
    <row r="195" customFormat="false" ht="15" hidden="false" customHeight="false" outlineLevel="0" collapsed="false">
      <c r="A195" s="13"/>
      <c r="B195" s="13"/>
      <c r="C195" s="13"/>
      <c r="D195" s="18"/>
      <c r="E195" s="19"/>
      <c r="F195" s="17" t="str">
        <f aca="false">IF(OR(B195="",D195=""),"",IFERROR((D195-INDEX(Requests!$K$2:$K$301,MATCH(B195,Requests!$A$2:$A$301,0)))*24,""))</f>
        <v/>
      </c>
      <c r="G195" s="15" t="str">
        <f aca="false">IF(F195="","",IF(F195&lt;=24,"Y","N"))</f>
        <v/>
      </c>
      <c r="H195" s="13"/>
      <c r="I195" s="15" t="str">
        <f aca="false">IF(D195="","",INT((D195-Settings!$B$2)/7)+1)</f>
        <v/>
      </c>
      <c r="J195" s="8"/>
      <c r="K195" s="8"/>
    </row>
    <row r="196" customFormat="false" ht="15" hidden="false" customHeight="false" outlineLevel="0" collapsed="false">
      <c r="A196" s="13"/>
      <c r="B196" s="13"/>
      <c r="C196" s="13"/>
      <c r="D196" s="18"/>
      <c r="E196" s="19"/>
      <c r="F196" s="17" t="str">
        <f aca="false">IF(OR(B196="",D196=""),"",IFERROR((D196-INDEX(Requests!$K$2:$K$301,MATCH(B196,Requests!$A$2:$A$301,0)))*24,""))</f>
        <v/>
      </c>
      <c r="G196" s="15" t="str">
        <f aca="false">IF(F196="","",IF(F196&lt;=24,"Y","N"))</f>
        <v/>
      </c>
      <c r="H196" s="13"/>
      <c r="I196" s="15" t="str">
        <f aca="false">IF(D196="","",INT((D196-Settings!$B$2)/7)+1)</f>
        <v/>
      </c>
      <c r="J196" s="8"/>
      <c r="K196" s="8"/>
    </row>
    <row r="197" customFormat="false" ht="15" hidden="false" customHeight="false" outlineLevel="0" collapsed="false">
      <c r="A197" s="13"/>
      <c r="B197" s="13"/>
      <c r="C197" s="13"/>
      <c r="D197" s="18"/>
      <c r="E197" s="19"/>
      <c r="F197" s="17" t="str">
        <f aca="false">IF(OR(B197="",D197=""),"",IFERROR((D197-INDEX(Requests!$K$2:$K$301,MATCH(B197,Requests!$A$2:$A$301,0)))*24,""))</f>
        <v/>
      </c>
      <c r="G197" s="15" t="str">
        <f aca="false">IF(F197="","",IF(F197&lt;=24,"Y","N"))</f>
        <v/>
      </c>
      <c r="H197" s="13"/>
      <c r="I197" s="15" t="str">
        <f aca="false">IF(D197="","",INT((D197-Settings!$B$2)/7)+1)</f>
        <v/>
      </c>
      <c r="J197" s="8"/>
      <c r="K197" s="8"/>
    </row>
    <row r="198" customFormat="false" ht="15" hidden="false" customHeight="false" outlineLevel="0" collapsed="false">
      <c r="A198" s="13"/>
      <c r="B198" s="13"/>
      <c r="C198" s="13"/>
      <c r="D198" s="18"/>
      <c r="E198" s="19"/>
      <c r="F198" s="17" t="str">
        <f aca="false">IF(OR(B198="",D198=""),"",IFERROR((D198-INDEX(Requests!$K$2:$K$301,MATCH(B198,Requests!$A$2:$A$301,0)))*24,""))</f>
        <v/>
      </c>
      <c r="G198" s="15" t="str">
        <f aca="false">IF(F198="","",IF(F198&lt;=24,"Y","N"))</f>
        <v/>
      </c>
      <c r="H198" s="13"/>
      <c r="I198" s="15" t="str">
        <f aca="false">IF(D198="","",INT((D198-Settings!$B$2)/7)+1)</f>
        <v/>
      </c>
      <c r="J198" s="8"/>
      <c r="K198" s="8"/>
    </row>
    <row r="199" customFormat="false" ht="15" hidden="false" customHeight="false" outlineLevel="0" collapsed="false">
      <c r="A199" s="13"/>
      <c r="B199" s="13"/>
      <c r="C199" s="13"/>
      <c r="D199" s="18"/>
      <c r="E199" s="19"/>
      <c r="F199" s="17" t="str">
        <f aca="false">IF(OR(B199="",D199=""),"",IFERROR((D199-INDEX(Requests!$K$2:$K$301,MATCH(B199,Requests!$A$2:$A$301,0)))*24,""))</f>
        <v/>
      </c>
      <c r="G199" s="15" t="str">
        <f aca="false">IF(F199="","",IF(F199&lt;=24,"Y","N"))</f>
        <v/>
      </c>
      <c r="H199" s="13"/>
      <c r="I199" s="15" t="str">
        <f aca="false">IF(D199="","",INT((D199-Settings!$B$2)/7)+1)</f>
        <v/>
      </c>
      <c r="J199" s="8"/>
      <c r="K199" s="8"/>
    </row>
    <row r="200" customFormat="false" ht="15" hidden="false" customHeight="false" outlineLevel="0" collapsed="false">
      <c r="A200" s="13"/>
      <c r="B200" s="13"/>
      <c r="C200" s="13"/>
      <c r="D200" s="18"/>
      <c r="E200" s="19"/>
      <c r="F200" s="17" t="str">
        <f aca="false">IF(OR(B200="",D200=""),"",IFERROR((D200-INDEX(Requests!$K$2:$K$301,MATCH(B200,Requests!$A$2:$A$301,0)))*24,""))</f>
        <v/>
      </c>
      <c r="G200" s="15" t="str">
        <f aca="false">IF(F200="","",IF(F200&lt;=24,"Y","N"))</f>
        <v/>
      </c>
      <c r="H200" s="13"/>
      <c r="I200" s="15" t="str">
        <f aca="false">IF(D200="","",INT((D200-Settings!$B$2)/7)+1)</f>
        <v/>
      </c>
      <c r="J200" s="8"/>
      <c r="K200" s="8"/>
    </row>
    <row r="201" customFormat="false" ht="15" hidden="false" customHeight="false" outlineLevel="0" collapsed="false">
      <c r="A201" s="13"/>
      <c r="B201" s="13"/>
      <c r="C201" s="13"/>
      <c r="D201" s="18"/>
      <c r="E201" s="19"/>
      <c r="F201" s="17" t="str">
        <f aca="false">IF(OR(B201="",D201=""),"",IFERROR((D201-INDEX(Requests!$K$2:$K$301,MATCH(B201,Requests!$A$2:$A$301,0)))*24,""))</f>
        <v/>
      </c>
      <c r="G201" s="15" t="str">
        <f aca="false">IF(F201="","",IF(F201&lt;=24,"Y","N"))</f>
        <v/>
      </c>
      <c r="H201" s="13"/>
      <c r="I201" s="15" t="str">
        <f aca="false">IF(D201="","",INT((D201-Settings!$B$2)/7)+1)</f>
        <v/>
      </c>
      <c r="J201" s="8"/>
      <c r="K201" s="8"/>
    </row>
    <row r="202" customFormat="false" ht="15" hidden="false" customHeight="false" outlineLevel="0" collapsed="false">
      <c r="A202" s="13"/>
      <c r="B202" s="13"/>
      <c r="C202" s="13"/>
      <c r="D202" s="18"/>
      <c r="E202" s="19"/>
      <c r="F202" s="17" t="str">
        <f aca="false">IF(OR(B202="",D202=""),"",IFERROR((D202-INDEX(Requests!$K$2:$K$301,MATCH(B202,Requests!$A$2:$A$301,0)))*24,""))</f>
        <v/>
      </c>
      <c r="G202" s="15" t="str">
        <f aca="false">IF(F202="","",IF(F202&lt;=24,"Y","N"))</f>
        <v/>
      </c>
      <c r="H202" s="13"/>
      <c r="I202" s="15" t="str">
        <f aca="false">IF(D202="","",INT((D202-Settings!$B$2)/7)+1)</f>
        <v/>
      </c>
      <c r="J202" s="8"/>
      <c r="K202" s="8"/>
    </row>
    <row r="203" customFormat="false" ht="15" hidden="false" customHeight="false" outlineLevel="0" collapsed="false">
      <c r="A203" s="13"/>
      <c r="B203" s="13"/>
      <c r="C203" s="13"/>
      <c r="D203" s="18"/>
      <c r="E203" s="19"/>
      <c r="F203" s="17" t="str">
        <f aca="false">IF(OR(B203="",D203=""),"",IFERROR((D203-INDEX(Requests!$K$2:$K$301,MATCH(B203,Requests!$A$2:$A$301,0)))*24,""))</f>
        <v/>
      </c>
      <c r="G203" s="15" t="str">
        <f aca="false">IF(F203="","",IF(F203&lt;=24,"Y","N"))</f>
        <v/>
      </c>
      <c r="H203" s="13"/>
      <c r="I203" s="15" t="str">
        <f aca="false">IF(D203="","",INT((D203-Settings!$B$2)/7)+1)</f>
        <v/>
      </c>
      <c r="J203" s="8"/>
      <c r="K203" s="8"/>
    </row>
    <row r="204" customFormat="false" ht="15" hidden="false" customHeight="false" outlineLevel="0" collapsed="false">
      <c r="A204" s="13"/>
      <c r="B204" s="13"/>
      <c r="C204" s="13"/>
      <c r="D204" s="18"/>
      <c r="E204" s="19"/>
      <c r="F204" s="17" t="str">
        <f aca="false">IF(OR(B204="",D204=""),"",IFERROR((D204-INDEX(Requests!$K$2:$K$301,MATCH(B204,Requests!$A$2:$A$301,0)))*24,""))</f>
        <v/>
      </c>
      <c r="G204" s="15" t="str">
        <f aca="false">IF(F204="","",IF(F204&lt;=24,"Y","N"))</f>
        <v/>
      </c>
      <c r="H204" s="13"/>
      <c r="I204" s="15" t="str">
        <f aca="false">IF(D204="","",INT((D204-Settings!$B$2)/7)+1)</f>
        <v/>
      </c>
      <c r="J204" s="8"/>
      <c r="K204" s="8"/>
    </row>
    <row r="205" customFormat="false" ht="15" hidden="false" customHeight="false" outlineLevel="0" collapsed="false">
      <c r="A205" s="13"/>
      <c r="B205" s="13"/>
      <c r="C205" s="13"/>
      <c r="D205" s="18"/>
      <c r="E205" s="19"/>
      <c r="F205" s="17" t="str">
        <f aca="false">IF(OR(B205="",D205=""),"",IFERROR((D205-INDEX(Requests!$K$2:$K$301,MATCH(B205,Requests!$A$2:$A$301,0)))*24,""))</f>
        <v/>
      </c>
      <c r="G205" s="15" t="str">
        <f aca="false">IF(F205="","",IF(F205&lt;=24,"Y","N"))</f>
        <v/>
      </c>
      <c r="H205" s="13"/>
      <c r="I205" s="15" t="str">
        <f aca="false">IF(D205="","",INT((D205-Settings!$B$2)/7)+1)</f>
        <v/>
      </c>
      <c r="J205" s="8"/>
      <c r="K205" s="8"/>
    </row>
    <row r="206" customFormat="false" ht="15" hidden="false" customHeight="false" outlineLevel="0" collapsed="false">
      <c r="A206" s="13"/>
      <c r="B206" s="13"/>
      <c r="C206" s="13"/>
      <c r="D206" s="18"/>
      <c r="E206" s="19"/>
      <c r="F206" s="17" t="str">
        <f aca="false">IF(OR(B206="",D206=""),"",IFERROR((D206-INDEX(Requests!$K$2:$K$301,MATCH(B206,Requests!$A$2:$A$301,0)))*24,""))</f>
        <v/>
      </c>
      <c r="G206" s="15" t="str">
        <f aca="false">IF(F206="","",IF(F206&lt;=24,"Y","N"))</f>
        <v/>
      </c>
      <c r="H206" s="13"/>
      <c r="I206" s="15" t="str">
        <f aca="false">IF(D206="","",INT((D206-Settings!$B$2)/7)+1)</f>
        <v/>
      </c>
      <c r="J206" s="8"/>
      <c r="K206" s="8"/>
    </row>
    <row r="207" customFormat="false" ht="15" hidden="false" customHeight="false" outlineLevel="0" collapsed="false">
      <c r="A207" s="13"/>
      <c r="B207" s="13"/>
      <c r="C207" s="13"/>
      <c r="D207" s="18"/>
      <c r="E207" s="19"/>
      <c r="F207" s="17" t="str">
        <f aca="false">IF(OR(B207="",D207=""),"",IFERROR((D207-INDEX(Requests!$K$2:$K$301,MATCH(B207,Requests!$A$2:$A$301,0)))*24,""))</f>
        <v/>
      </c>
      <c r="G207" s="15" t="str">
        <f aca="false">IF(F207="","",IF(F207&lt;=24,"Y","N"))</f>
        <v/>
      </c>
      <c r="H207" s="13"/>
      <c r="I207" s="15" t="str">
        <f aca="false">IF(D207="","",INT((D207-Settings!$B$2)/7)+1)</f>
        <v/>
      </c>
      <c r="J207" s="8"/>
      <c r="K207" s="8"/>
    </row>
    <row r="208" customFormat="false" ht="15" hidden="false" customHeight="false" outlineLevel="0" collapsed="false">
      <c r="A208" s="13"/>
      <c r="B208" s="13"/>
      <c r="C208" s="13"/>
      <c r="D208" s="18"/>
      <c r="E208" s="19"/>
      <c r="F208" s="17" t="str">
        <f aca="false">IF(OR(B208="",D208=""),"",IFERROR((D208-INDEX(Requests!$K$2:$K$301,MATCH(B208,Requests!$A$2:$A$301,0)))*24,""))</f>
        <v/>
      </c>
      <c r="G208" s="15" t="str">
        <f aca="false">IF(F208="","",IF(F208&lt;=24,"Y","N"))</f>
        <v/>
      </c>
      <c r="H208" s="13"/>
      <c r="I208" s="15" t="str">
        <f aca="false">IF(D208="","",INT((D208-Settings!$B$2)/7)+1)</f>
        <v/>
      </c>
      <c r="J208" s="8"/>
      <c r="K208" s="8"/>
    </row>
    <row r="209" customFormat="false" ht="15" hidden="false" customHeight="false" outlineLevel="0" collapsed="false">
      <c r="A209" s="13"/>
      <c r="B209" s="13"/>
      <c r="C209" s="13"/>
      <c r="D209" s="18"/>
      <c r="E209" s="19"/>
      <c r="F209" s="17" t="str">
        <f aca="false">IF(OR(B209="",D209=""),"",IFERROR((D209-INDEX(Requests!$K$2:$K$301,MATCH(B209,Requests!$A$2:$A$301,0)))*24,""))</f>
        <v/>
      </c>
      <c r="G209" s="15" t="str">
        <f aca="false">IF(F209="","",IF(F209&lt;=24,"Y","N"))</f>
        <v/>
      </c>
      <c r="H209" s="13"/>
      <c r="I209" s="15" t="str">
        <f aca="false">IF(D209="","",INT((D209-Settings!$B$2)/7)+1)</f>
        <v/>
      </c>
      <c r="J209" s="8"/>
      <c r="K209" s="8"/>
    </row>
    <row r="210" customFormat="false" ht="15" hidden="false" customHeight="false" outlineLevel="0" collapsed="false">
      <c r="A210" s="13"/>
      <c r="B210" s="13"/>
      <c r="C210" s="13"/>
      <c r="D210" s="18"/>
      <c r="E210" s="19"/>
      <c r="F210" s="17" t="str">
        <f aca="false">IF(OR(B210="",D210=""),"",IFERROR((D210-INDEX(Requests!$K$2:$K$301,MATCH(B210,Requests!$A$2:$A$301,0)))*24,""))</f>
        <v/>
      </c>
      <c r="G210" s="15" t="str">
        <f aca="false">IF(F210="","",IF(F210&lt;=24,"Y","N"))</f>
        <v/>
      </c>
      <c r="H210" s="13"/>
      <c r="I210" s="15" t="str">
        <f aca="false">IF(D210="","",INT((D210-Settings!$B$2)/7)+1)</f>
        <v/>
      </c>
      <c r="J210" s="8"/>
      <c r="K210" s="8"/>
    </row>
    <row r="211" customFormat="false" ht="15" hidden="false" customHeight="false" outlineLevel="0" collapsed="false">
      <c r="A211" s="13"/>
      <c r="B211" s="13"/>
      <c r="C211" s="13"/>
      <c r="D211" s="18"/>
      <c r="E211" s="19"/>
      <c r="F211" s="17" t="str">
        <f aca="false">IF(OR(B211="",D211=""),"",IFERROR((D211-INDEX(Requests!$K$2:$K$301,MATCH(B211,Requests!$A$2:$A$301,0)))*24,""))</f>
        <v/>
      </c>
      <c r="G211" s="15" t="str">
        <f aca="false">IF(F211="","",IF(F211&lt;=24,"Y","N"))</f>
        <v/>
      </c>
      <c r="H211" s="13"/>
      <c r="I211" s="15" t="str">
        <f aca="false">IF(D211="","",INT((D211-Settings!$B$2)/7)+1)</f>
        <v/>
      </c>
      <c r="J211" s="8"/>
      <c r="K211" s="8"/>
    </row>
    <row r="212" customFormat="false" ht="15" hidden="false" customHeight="false" outlineLevel="0" collapsed="false">
      <c r="A212" s="13"/>
      <c r="B212" s="13"/>
      <c r="C212" s="13"/>
      <c r="D212" s="18"/>
      <c r="E212" s="19"/>
      <c r="F212" s="17" t="str">
        <f aca="false">IF(OR(B212="",D212=""),"",IFERROR((D212-INDEX(Requests!$K$2:$K$301,MATCH(B212,Requests!$A$2:$A$301,0)))*24,""))</f>
        <v/>
      </c>
      <c r="G212" s="15" t="str">
        <f aca="false">IF(F212="","",IF(F212&lt;=24,"Y","N"))</f>
        <v/>
      </c>
      <c r="H212" s="13"/>
      <c r="I212" s="15" t="str">
        <f aca="false">IF(D212="","",INT((D212-Settings!$B$2)/7)+1)</f>
        <v/>
      </c>
      <c r="J212" s="8"/>
      <c r="K212" s="8"/>
    </row>
    <row r="213" customFormat="false" ht="15" hidden="false" customHeight="false" outlineLevel="0" collapsed="false">
      <c r="A213" s="13"/>
      <c r="B213" s="13"/>
      <c r="C213" s="13"/>
      <c r="D213" s="18"/>
      <c r="E213" s="19"/>
      <c r="F213" s="17" t="str">
        <f aca="false">IF(OR(B213="",D213=""),"",IFERROR((D213-INDEX(Requests!$K$2:$K$301,MATCH(B213,Requests!$A$2:$A$301,0)))*24,""))</f>
        <v/>
      </c>
      <c r="G213" s="15" t="str">
        <f aca="false">IF(F213="","",IF(F213&lt;=24,"Y","N"))</f>
        <v/>
      </c>
      <c r="H213" s="13"/>
      <c r="I213" s="15" t="str">
        <f aca="false">IF(D213="","",INT((D213-Settings!$B$2)/7)+1)</f>
        <v/>
      </c>
      <c r="J213" s="8"/>
      <c r="K213" s="8"/>
    </row>
    <row r="214" customFormat="false" ht="15" hidden="false" customHeight="false" outlineLevel="0" collapsed="false">
      <c r="A214" s="13"/>
      <c r="B214" s="13"/>
      <c r="C214" s="13"/>
      <c r="D214" s="18"/>
      <c r="E214" s="19"/>
      <c r="F214" s="17" t="str">
        <f aca="false">IF(OR(B214="",D214=""),"",IFERROR((D214-INDEX(Requests!$K$2:$K$301,MATCH(B214,Requests!$A$2:$A$301,0)))*24,""))</f>
        <v/>
      </c>
      <c r="G214" s="15" t="str">
        <f aca="false">IF(F214="","",IF(F214&lt;=24,"Y","N"))</f>
        <v/>
      </c>
      <c r="H214" s="13"/>
      <c r="I214" s="15" t="str">
        <f aca="false">IF(D214="","",INT((D214-Settings!$B$2)/7)+1)</f>
        <v/>
      </c>
      <c r="J214" s="8"/>
      <c r="K214" s="8"/>
    </row>
    <row r="215" customFormat="false" ht="15" hidden="false" customHeight="false" outlineLevel="0" collapsed="false">
      <c r="A215" s="13"/>
      <c r="B215" s="13"/>
      <c r="C215" s="13"/>
      <c r="D215" s="18"/>
      <c r="E215" s="19"/>
      <c r="F215" s="17" t="str">
        <f aca="false">IF(OR(B215="",D215=""),"",IFERROR((D215-INDEX(Requests!$K$2:$K$301,MATCH(B215,Requests!$A$2:$A$301,0)))*24,""))</f>
        <v/>
      </c>
      <c r="G215" s="15" t="str">
        <f aca="false">IF(F215="","",IF(F215&lt;=24,"Y","N"))</f>
        <v/>
      </c>
      <c r="H215" s="13"/>
      <c r="I215" s="15" t="str">
        <f aca="false">IF(D215="","",INT((D215-Settings!$B$2)/7)+1)</f>
        <v/>
      </c>
      <c r="J215" s="8"/>
      <c r="K215" s="8"/>
    </row>
    <row r="216" customFormat="false" ht="15" hidden="false" customHeight="false" outlineLevel="0" collapsed="false">
      <c r="A216" s="13"/>
      <c r="B216" s="13"/>
      <c r="C216" s="13"/>
      <c r="D216" s="18"/>
      <c r="E216" s="19"/>
      <c r="F216" s="17" t="str">
        <f aca="false">IF(OR(B216="",D216=""),"",IFERROR((D216-INDEX(Requests!$K$2:$K$301,MATCH(B216,Requests!$A$2:$A$301,0)))*24,""))</f>
        <v/>
      </c>
      <c r="G216" s="15" t="str">
        <f aca="false">IF(F216="","",IF(F216&lt;=24,"Y","N"))</f>
        <v/>
      </c>
      <c r="H216" s="13"/>
      <c r="I216" s="15" t="str">
        <f aca="false">IF(D216="","",INT((D216-Settings!$B$2)/7)+1)</f>
        <v/>
      </c>
      <c r="J216" s="8"/>
      <c r="K216" s="8"/>
    </row>
    <row r="217" customFormat="false" ht="15" hidden="false" customHeight="false" outlineLevel="0" collapsed="false">
      <c r="A217" s="13"/>
      <c r="B217" s="13"/>
      <c r="C217" s="13"/>
      <c r="D217" s="18"/>
      <c r="E217" s="19"/>
      <c r="F217" s="17" t="str">
        <f aca="false">IF(OR(B217="",D217=""),"",IFERROR((D217-INDEX(Requests!$K$2:$K$301,MATCH(B217,Requests!$A$2:$A$301,0)))*24,""))</f>
        <v/>
      </c>
      <c r="G217" s="15" t="str">
        <f aca="false">IF(F217="","",IF(F217&lt;=24,"Y","N"))</f>
        <v/>
      </c>
      <c r="H217" s="13"/>
      <c r="I217" s="15" t="str">
        <f aca="false">IF(D217="","",INT((D217-Settings!$B$2)/7)+1)</f>
        <v/>
      </c>
      <c r="J217" s="8"/>
      <c r="K217" s="8"/>
    </row>
    <row r="218" customFormat="false" ht="15" hidden="false" customHeight="false" outlineLevel="0" collapsed="false">
      <c r="A218" s="13"/>
      <c r="B218" s="13"/>
      <c r="C218" s="13"/>
      <c r="D218" s="18"/>
      <c r="E218" s="19"/>
      <c r="F218" s="17" t="str">
        <f aca="false">IF(OR(B218="",D218=""),"",IFERROR((D218-INDEX(Requests!$K$2:$K$301,MATCH(B218,Requests!$A$2:$A$301,0)))*24,""))</f>
        <v/>
      </c>
      <c r="G218" s="15" t="str">
        <f aca="false">IF(F218="","",IF(F218&lt;=24,"Y","N"))</f>
        <v/>
      </c>
      <c r="H218" s="13"/>
      <c r="I218" s="15" t="str">
        <f aca="false">IF(D218="","",INT((D218-Settings!$B$2)/7)+1)</f>
        <v/>
      </c>
      <c r="J218" s="8"/>
      <c r="K218" s="8"/>
    </row>
    <row r="219" customFormat="false" ht="15" hidden="false" customHeight="false" outlineLevel="0" collapsed="false">
      <c r="A219" s="13"/>
      <c r="B219" s="13"/>
      <c r="C219" s="13"/>
      <c r="D219" s="18"/>
      <c r="E219" s="19"/>
      <c r="F219" s="17" t="str">
        <f aca="false">IF(OR(B219="",D219=""),"",IFERROR((D219-INDEX(Requests!$K$2:$K$301,MATCH(B219,Requests!$A$2:$A$301,0)))*24,""))</f>
        <v/>
      </c>
      <c r="G219" s="15" t="str">
        <f aca="false">IF(F219="","",IF(F219&lt;=24,"Y","N"))</f>
        <v/>
      </c>
      <c r="H219" s="13"/>
      <c r="I219" s="15" t="str">
        <f aca="false">IF(D219="","",INT((D219-Settings!$B$2)/7)+1)</f>
        <v/>
      </c>
      <c r="J219" s="8"/>
      <c r="K219" s="8"/>
    </row>
    <row r="220" customFormat="false" ht="15" hidden="false" customHeight="false" outlineLevel="0" collapsed="false">
      <c r="A220" s="13"/>
      <c r="B220" s="13"/>
      <c r="C220" s="13"/>
      <c r="D220" s="18"/>
      <c r="E220" s="19"/>
      <c r="F220" s="17" t="str">
        <f aca="false">IF(OR(B220="",D220=""),"",IFERROR((D220-INDEX(Requests!$K$2:$K$301,MATCH(B220,Requests!$A$2:$A$301,0)))*24,""))</f>
        <v/>
      </c>
      <c r="G220" s="15" t="str">
        <f aca="false">IF(F220="","",IF(F220&lt;=24,"Y","N"))</f>
        <v/>
      </c>
      <c r="H220" s="13"/>
      <c r="I220" s="15" t="str">
        <f aca="false">IF(D220="","",INT((D220-Settings!$B$2)/7)+1)</f>
        <v/>
      </c>
      <c r="J220" s="8"/>
      <c r="K220" s="8"/>
    </row>
    <row r="221" customFormat="false" ht="15" hidden="false" customHeight="false" outlineLevel="0" collapsed="false">
      <c r="A221" s="13"/>
      <c r="B221" s="13"/>
      <c r="C221" s="13"/>
      <c r="D221" s="18"/>
      <c r="E221" s="19"/>
      <c r="F221" s="17" t="str">
        <f aca="false">IF(OR(B221="",D221=""),"",IFERROR((D221-INDEX(Requests!$K$2:$K$301,MATCH(B221,Requests!$A$2:$A$301,0)))*24,""))</f>
        <v/>
      </c>
      <c r="G221" s="15" t="str">
        <f aca="false">IF(F221="","",IF(F221&lt;=24,"Y","N"))</f>
        <v/>
      </c>
      <c r="H221" s="13"/>
      <c r="I221" s="15" t="str">
        <f aca="false">IF(D221="","",INT((D221-Settings!$B$2)/7)+1)</f>
        <v/>
      </c>
      <c r="J221" s="8"/>
      <c r="K221" s="8"/>
    </row>
    <row r="222" customFormat="false" ht="15" hidden="false" customHeight="false" outlineLevel="0" collapsed="false">
      <c r="A222" s="13"/>
      <c r="B222" s="13"/>
      <c r="C222" s="13"/>
      <c r="D222" s="18"/>
      <c r="E222" s="19"/>
      <c r="F222" s="17" t="str">
        <f aca="false">IF(OR(B222="",D222=""),"",IFERROR((D222-INDEX(Requests!$K$2:$K$301,MATCH(B222,Requests!$A$2:$A$301,0)))*24,""))</f>
        <v/>
      </c>
      <c r="G222" s="15" t="str">
        <f aca="false">IF(F222="","",IF(F222&lt;=24,"Y","N"))</f>
        <v/>
      </c>
      <c r="H222" s="13"/>
      <c r="I222" s="15" t="str">
        <f aca="false">IF(D222="","",INT((D222-Settings!$B$2)/7)+1)</f>
        <v/>
      </c>
      <c r="J222" s="8"/>
      <c r="K222" s="8"/>
    </row>
    <row r="223" customFormat="false" ht="15" hidden="false" customHeight="false" outlineLevel="0" collapsed="false">
      <c r="A223" s="13"/>
      <c r="B223" s="13"/>
      <c r="C223" s="13"/>
      <c r="D223" s="18"/>
      <c r="E223" s="19"/>
      <c r="F223" s="17" t="str">
        <f aca="false">IF(OR(B223="",D223=""),"",IFERROR((D223-INDEX(Requests!$K$2:$K$301,MATCH(B223,Requests!$A$2:$A$301,0)))*24,""))</f>
        <v/>
      </c>
      <c r="G223" s="15" t="str">
        <f aca="false">IF(F223="","",IF(F223&lt;=24,"Y","N"))</f>
        <v/>
      </c>
      <c r="H223" s="13"/>
      <c r="I223" s="15" t="str">
        <f aca="false">IF(D223="","",INT((D223-Settings!$B$2)/7)+1)</f>
        <v/>
      </c>
      <c r="J223" s="8"/>
      <c r="K223" s="8"/>
    </row>
    <row r="224" customFormat="false" ht="15" hidden="false" customHeight="false" outlineLevel="0" collapsed="false">
      <c r="A224" s="13"/>
      <c r="B224" s="13"/>
      <c r="C224" s="13"/>
      <c r="D224" s="18"/>
      <c r="E224" s="19"/>
      <c r="F224" s="17" t="str">
        <f aca="false">IF(OR(B224="",D224=""),"",IFERROR((D224-INDEX(Requests!$K$2:$K$301,MATCH(B224,Requests!$A$2:$A$301,0)))*24,""))</f>
        <v/>
      </c>
      <c r="G224" s="15" t="str">
        <f aca="false">IF(F224="","",IF(F224&lt;=24,"Y","N"))</f>
        <v/>
      </c>
      <c r="H224" s="13"/>
      <c r="I224" s="15" t="str">
        <f aca="false">IF(D224="","",INT((D224-Settings!$B$2)/7)+1)</f>
        <v/>
      </c>
      <c r="J224" s="8"/>
      <c r="K224" s="8"/>
    </row>
    <row r="225" customFormat="false" ht="15" hidden="false" customHeight="false" outlineLevel="0" collapsed="false">
      <c r="A225" s="13"/>
      <c r="B225" s="13"/>
      <c r="C225" s="13"/>
      <c r="D225" s="18"/>
      <c r="E225" s="19"/>
      <c r="F225" s="17" t="str">
        <f aca="false">IF(OR(B225="",D225=""),"",IFERROR((D225-INDEX(Requests!$K$2:$K$301,MATCH(B225,Requests!$A$2:$A$301,0)))*24,""))</f>
        <v/>
      </c>
      <c r="G225" s="15" t="str">
        <f aca="false">IF(F225="","",IF(F225&lt;=24,"Y","N"))</f>
        <v/>
      </c>
      <c r="H225" s="13"/>
      <c r="I225" s="15" t="str">
        <f aca="false">IF(D225="","",INT((D225-Settings!$B$2)/7)+1)</f>
        <v/>
      </c>
      <c r="J225" s="8"/>
      <c r="K225" s="8"/>
    </row>
    <row r="226" customFormat="false" ht="15" hidden="false" customHeight="false" outlineLevel="0" collapsed="false">
      <c r="A226" s="13"/>
      <c r="B226" s="13"/>
      <c r="C226" s="13"/>
      <c r="D226" s="18"/>
      <c r="E226" s="19"/>
      <c r="F226" s="17" t="str">
        <f aca="false">IF(OR(B226="",D226=""),"",IFERROR((D226-INDEX(Requests!$K$2:$K$301,MATCH(B226,Requests!$A$2:$A$301,0)))*24,""))</f>
        <v/>
      </c>
      <c r="G226" s="15" t="str">
        <f aca="false">IF(F226="","",IF(F226&lt;=24,"Y","N"))</f>
        <v/>
      </c>
      <c r="H226" s="13"/>
      <c r="I226" s="15" t="str">
        <f aca="false">IF(D226="","",INT((D226-Settings!$B$2)/7)+1)</f>
        <v/>
      </c>
      <c r="J226" s="8"/>
      <c r="K226" s="8"/>
    </row>
    <row r="227" customFormat="false" ht="15" hidden="false" customHeight="false" outlineLevel="0" collapsed="false">
      <c r="A227" s="13"/>
      <c r="B227" s="13"/>
      <c r="C227" s="13"/>
      <c r="D227" s="18"/>
      <c r="E227" s="19"/>
      <c r="F227" s="17" t="str">
        <f aca="false">IF(OR(B227="",D227=""),"",IFERROR((D227-INDEX(Requests!$K$2:$K$301,MATCH(B227,Requests!$A$2:$A$301,0)))*24,""))</f>
        <v/>
      </c>
      <c r="G227" s="15" t="str">
        <f aca="false">IF(F227="","",IF(F227&lt;=24,"Y","N"))</f>
        <v/>
      </c>
      <c r="H227" s="13"/>
      <c r="I227" s="15" t="str">
        <f aca="false">IF(D227="","",INT((D227-Settings!$B$2)/7)+1)</f>
        <v/>
      </c>
      <c r="J227" s="8"/>
      <c r="K227" s="8"/>
    </row>
    <row r="228" customFormat="false" ht="15" hidden="false" customHeight="false" outlineLevel="0" collapsed="false">
      <c r="A228" s="13"/>
      <c r="B228" s="13"/>
      <c r="C228" s="13"/>
      <c r="D228" s="18"/>
      <c r="E228" s="19"/>
      <c r="F228" s="17" t="str">
        <f aca="false">IF(OR(B228="",D228=""),"",IFERROR((D228-INDEX(Requests!$K$2:$K$301,MATCH(B228,Requests!$A$2:$A$301,0)))*24,""))</f>
        <v/>
      </c>
      <c r="G228" s="15" t="str">
        <f aca="false">IF(F228="","",IF(F228&lt;=24,"Y","N"))</f>
        <v/>
      </c>
      <c r="H228" s="13"/>
      <c r="I228" s="15" t="str">
        <f aca="false">IF(D228="","",INT((D228-Settings!$B$2)/7)+1)</f>
        <v/>
      </c>
      <c r="J228" s="8"/>
      <c r="K228" s="8"/>
    </row>
    <row r="229" customFormat="false" ht="15" hidden="false" customHeight="false" outlineLevel="0" collapsed="false">
      <c r="A229" s="13"/>
      <c r="B229" s="13"/>
      <c r="C229" s="13"/>
      <c r="D229" s="18"/>
      <c r="E229" s="19"/>
      <c r="F229" s="17" t="str">
        <f aca="false">IF(OR(B229="",D229=""),"",IFERROR((D229-INDEX(Requests!$K$2:$K$301,MATCH(B229,Requests!$A$2:$A$301,0)))*24,""))</f>
        <v/>
      </c>
      <c r="G229" s="15" t="str">
        <f aca="false">IF(F229="","",IF(F229&lt;=24,"Y","N"))</f>
        <v/>
      </c>
      <c r="H229" s="13"/>
      <c r="I229" s="15" t="str">
        <f aca="false">IF(D229="","",INT((D229-Settings!$B$2)/7)+1)</f>
        <v/>
      </c>
      <c r="J229" s="8"/>
      <c r="K229" s="8"/>
    </row>
    <row r="230" customFormat="false" ht="15" hidden="false" customHeight="false" outlineLevel="0" collapsed="false">
      <c r="A230" s="13"/>
      <c r="B230" s="13"/>
      <c r="C230" s="13"/>
      <c r="D230" s="18"/>
      <c r="E230" s="19"/>
      <c r="F230" s="17" t="str">
        <f aca="false">IF(OR(B230="",D230=""),"",IFERROR((D230-INDEX(Requests!$K$2:$K$301,MATCH(B230,Requests!$A$2:$A$301,0)))*24,""))</f>
        <v/>
      </c>
      <c r="G230" s="15" t="str">
        <f aca="false">IF(F230="","",IF(F230&lt;=24,"Y","N"))</f>
        <v/>
      </c>
      <c r="H230" s="13"/>
      <c r="I230" s="15" t="str">
        <f aca="false">IF(D230="","",INT((D230-Settings!$B$2)/7)+1)</f>
        <v/>
      </c>
      <c r="J230" s="8"/>
      <c r="K230" s="8"/>
    </row>
    <row r="231" customFormat="false" ht="15" hidden="false" customHeight="false" outlineLevel="0" collapsed="false">
      <c r="A231" s="13"/>
      <c r="B231" s="13"/>
      <c r="C231" s="13"/>
      <c r="D231" s="18"/>
      <c r="E231" s="19"/>
      <c r="F231" s="17" t="str">
        <f aca="false">IF(OR(B231="",D231=""),"",IFERROR((D231-INDEX(Requests!$K$2:$K$301,MATCH(B231,Requests!$A$2:$A$301,0)))*24,""))</f>
        <v/>
      </c>
      <c r="G231" s="15" t="str">
        <f aca="false">IF(F231="","",IF(F231&lt;=24,"Y","N"))</f>
        <v/>
      </c>
      <c r="H231" s="13"/>
      <c r="I231" s="15" t="str">
        <f aca="false">IF(D231="","",INT((D231-Settings!$B$2)/7)+1)</f>
        <v/>
      </c>
      <c r="J231" s="8"/>
      <c r="K231" s="8"/>
    </row>
    <row r="232" customFormat="false" ht="15" hidden="false" customHeight="false" outlineLevel="0" collapsed="false">
      <c r="A232" s="13"/>
      <c r="B232" s="13"/>
      <c r="C232" s="13"/>
      <c r="D232" s="18"/>
      <c r="E232" s="19"/>
      <c r="F232" s="17" t="str">
        <f aca="false">IF(OR(B232="",D232=""),"",IFERROR((D232-INDEX(Requests!$K$2:$K$301,MATCH(B232,Requests!$A$2:$A$301,0)))*24,""))</f>
        <v/>
      </c>
      <c r="G232" s="15" t="str">
        <f aca="false">IF(F232="","",IF(F232&lt;=24,"Y","N"))</f>
        <v/>
      </c>
      <c r="H232" s="13"/>
      <c r="I232" s="15" t="str">
        <f aca="false">IF(D232="","",INT((D232-Settings!$B$2)/7)+1)</f>
        <v/>
      </c>
      <c r="J232" s="8"/>
      <c r="K232" s="8"/>
    </row>
    <row r="233" customFormat="false" ht="15" hidden="false" customHeight="false" outlineLevel="0" collapsed="false">
      <c r="A233" s="13"/>
      <c r="B233" s="13"/>
      <c r="C233" s="13"/>
      <c r="D233" s="18"/>
      <c r="E233" s="19"/>
      <c r="F233" s="17" t="str">
        <f aca="false">IF(OR(B233="",D233=""),"",IFERROR((D233-INDEX(Requests!$K$2:$K$301,MATCH(B233,Requests!$A$2:$A$301,0)))*24,""))</f>
        <v/>
      </c>
      <c r="G233" s="15" t="str">
        <f aca="false">IF(F233="","",IF(F233&lt;=24,"Y","N"))</f>
        <v/>
      </c>
      <c r="H233" s="13"/>
      <c r="I233" s="15" t="str">
        <f aca="false">IF(D233="","",INT((D233-Settings!$B$2)/7)+1)</f>
        <v/>
      </c>
      <c r="J233" s="8"/>
      <c r="K233" s="8"/>
    </row>
    <row r="234" customFormat="false" ht="15" hidden="false" customHeight="false" outlineLevel="0" collapsed="false">
      <c r="A234" s="13"/>
      <c r="B234" s="13"/>
      <c r="C234" s="13"/>
      <c r="D234" s="18"/>
      <c r="E234" s="19"/>
      <c r="F234" s="17" t="str">
        <f aca="false">IF(OR(B234="",D234=""),"",IFERROR((D234-INDEX(Requests!$K$2:$K$301,MATCH(B234,Requests!$A$2:$A$301,0)))*24,""))</f>
        <v/>
      </c>
      <c r="G234" s="15" t="str">
        <f aca="false">IF(F234="","",IF(F234&lt;=24,"Y","N"))</f>
        <v/>
      </c>
      <c r="H234" s="13"/>
      <c r="I234" s="15" t="str">
        <f aca="false">IF(D234="","",INT((D234-Settings!$B$2)/7)+1)</f>
        <v/>
      </c>
      <c r="J234" s="8"/>
      <c r="K234" s="8"/>
    </row>
    <row r="235" customFormat="false" ht="15" hidden="false" customHeight="false" outlineLevel="0" collapsed="false">
      <c r="A235" s="13"/>
      <c r="B235" s="13"/>
      <c r="C235" s="13"/>
      <c r="D235" s="18"/>
      <c r="E235" s="19"/>
      <c r="F235" s="17" t="str">
        <f aca="false">IF(OR(B235="",D235=""),"",IFERROR((D235-INDEX(Requests!$K$2:$K$301,MATCH(B235,Requests!$A$2:$A$301,0)))*24,""))</f>
        <v/>
      </c>
      <c r="G235" s="15" t="str">
        <f aca="false">IF(F235="","",IF(F235&lt;=24,"Y","N"))</f>
        <v/>
      </c>
      <c r="H235" s="13"/>
      <c r="I235" s="15" t="str">
        <f aca="false">IF(D235="","",INT((D235-Settings!$B$2)/7)+1)</f>
        <v/>
      </c>
      <c r="J235" s="8"/>
      <c r="K235" s="8"/>
    </row>
    <row r="236" customFormat="false" ht="15" hidden="false" customHeight="false" outlineLevel="0" collapsed="false">
      <c r="A236" s="13"/>
      <c r="B236" s="13"/>
      <c r="C236" s="13"/>
      <c r="D236" s="18"/>
      <c r="E236" s="19"/>
      <c r="F236" s="17" t="str">
        <f aca="false">IF(OR(B236="",D236=""),"",IFERROR((D236-INDEX(Requests!$K$2:$K$301,MATCH(B236,Requests!$A$2:$A$301,0)))*24,""))</f>
        <v/>
      </c>
      <c r="G236" s="15" t="str">
        <f aca="false">IF(F236="","",IF(F236&lt;=24,"Y","N"))</f>
        <v/>
      </c>
      <c r="H236" s="13"/>
      <c r="I236" s="15" t="str">
        <f aca="false">IF(D236="","",INT((D236-Settings!$B$2)/7)+1)</f>
        <v/>
      </c>
      <c r="J236" s="8"/>
      <c r="K236" s="8"/>
    </row>
    <row r="237" customFormat="false" ht="15" hidden="false" customHeight="false" outlineLevel="0" collapsed="false">
      <c r="A237" s="13"/>
      <c r="B237" s="13"/>
      <c r="C237" s="13"/>
      <c r="D237" s="18"/>
      <c r="E237" s="19"/>
      <c r="F237" s="17" t="str">
        <f aca="false">IF(OR(B237="",D237=""),"",IFERROR((D237-INDEX(Requests!$K$2:$K$301,MATCH(B237,Requests!$A$2:$A$301,0)))*24,""))</f>
        <v/>
      </c>
      <c r="G237" s="15" t="str">
        <f aca="false">IF(F237="","",IF(F237&lt;=24,"Y","N"))</f>
        <v/>
      </c>
      <c r="H237" s="13"/>
      <c r="I237" s="15" t="str">
        <f aca="false">IF(D237="","",INT((D237-Settings!$B$2)/7)+1)</f>
        <v/>
      </c>
      <c r="J237" s="8"/>
      <c r="K237" s="8"/>
    </row>
    <row r="238" customFormat="false" ht="15" hidden="false" customHeight="false" outlineLevel="0" collapsed="false">
      <c r="A238" s="13"/>
      <c r="B238" s="13"/>
      <c r="C238" s="13"/>
      <c r="D238" s="18"/>
      <c r="E238" s="19"/>
      <c r="F238" s="17" t="str">
        <f aca="false">IF(OR(B238="",D238=""),"",IFERROR((D238-INDEX(Requests!$K$2:$K$301,MATCH(B238,Requests!$A$2:$A$301,0)))*24,""))</f>
        <v/>
      </c>
      <c r="G238" s="15" t="str">
        <f aca="false">IF(F238="","",IF(F238&lt;=24,"Y","N"))</f>
        <v/>
      </c>
      <c r="H238" s="13"/>
      <c r="I238" s="15" t="str">
        <f aca="false">IF(D238="","",INT((D238-Settings!$B$2)/7)+1)</f>
        <v/>
      </c>
      <c r="J238" s="8"/>
      <c r="K238" s="8"/>
    </row>
    <row r="239" customFormat="false" ht="15" hidden="false" customHeight="false" outlineLevel="0" collapsed="false">
      <c r="A239" s="13"/>
      <c r="B239" s="13"/>
      <c r="C239" s="13"/>
      <c r="D239" s="18"/>
      <c r="E239" s="19"/>
      <c r="F239" s="17" t="str">
        <f aca="false">IF(OR(B239="",D239=""),"",IFERROR((D239-INDEX(Requests!$K$2:$K$301,MATCH(B239,Requests!$A$2:$A$301,0)))*24,""))</f>
        <v/>
      </c>
      <c r="G239" s="15" t="str">
        <f aca="false">IF(F239="","",IF(F239&lt;=24,"Y","N"))</f>
        <v/>
      </c>
      <c r="H239" s="13"/>
      <c r="I239" s="15" t="str">
        <f aca="false">IF(D239="","",INT((D239-Settings!$B$2)/7)+1)</f>
        <v/>
      </c>
      <c r="J239" s="8"/>
      <c r="K239" s="8"/>
    </row>
    <row r="240" customFormat="false" ht="15" hidden="false" customHeight="false" outlineLevel="0" collapsed="false">
      <c r="A240" s="13"/>
      <c r="B240" s="13"/>
      <c r="C240" s="13"/>
      <c r="D240" s="18"/>
      <c r="E240" s="19"/>
      <c r="F240" s="17" t="str">
        <f aca="false">IF(OR(B240="",D240=""),"",IFERROR((D240-INDEX(Requests!$K$2:$K$301,MATCH(B240,Requests!$A$2:$A$301,0)))*24,""))</f>
        <v/>
      </c>
      <c r="G240" s="15" t="str">
        <f aca="false">IF(F240="","",IF(F240&lt;=24,"Y","N"))</f>
        <v/>
      </c>
      <c r="H240" s="13"/>
      <c r="I240" s="15" t="str">
        <f aca="false">IF(D240="","",INT((D240-Settings!$B$2)/7)+1)</f>
        <v/>
      </c>
      <c r="J240" s="8"/>
      <c r="K240" s="8"/>
    </row>
    <row r="241" customFormat="false" ht="15" hidden="false" customHeight="false" outlineLevel="0" collapsed="false">
      <c r="A241" s="13"/>
      <c r="B241" s="13"/>
      <c r="C241" s="13"/>
      <c r="D241" s="18"/>
      <c r="E241" s="19"/>
      <c r="F241" s="17" t="str">
        <f aca="false">IF(OR(B241="",D241=""),"",IFERROR((D241-INDEX(Requests!$K$2:$K$301,MATCH(B241,Requests!$A$2:$A$301,0)))*24,""))</f>
        <v/>
      </c>
      <c r="G241" s="15" t="str">
        <f aca="false">IF(F241="","",IF(F241&lt;=24,"Y","N"))</f>
        <v/>
      </c>
      <c r="H241" s="13"/>
      <c r="I241" s="15" t="str">
        <f aca="false">IF(D241="","",INT((D241-Settings!$B$2)/7)+1)</f>
        <v/>
      </c>
      <c r="J241" s="8"/>
      <c r="K241" s="8"/>
    </row>
    <row r="242" customFormat="false" ht="15" hidden="false" customHeight="false" outlineLevel="0" collapsed="false">
      <c r="A242" s="13"/>
      <c r="B242" s="13"/>
      <c r="C242" s="13"/>
      <c r="D242" s="18"/>
      <c r="E242" s="19"/>
      <c r="F242" s="17" t="str">
        <f aca="false">IF(OR(B242="",D242=""),"",IFERROR((D242-INDEX(Requests!$K$2:$K$301,MATCH(B242,Requests!$A$2:$A$301,0)))*24,""))</f>
        <v/>
      </c>
      <c r="G242" s="15" t="str">
        <f aca="false">IF(F242="","",IF(F242&lt;=24,"Y","N"))</f>
        <v/>
      </c>
      <c r="H242" s="13"/>
      <c r="I242" s="15" t="str">
        <f aca="false">IF(D242="","",INT((D242-Settings!$B$2)/7)+1)</f>
        <v/>
      </c>
      <c r="J242" s="8"/>
      <c r="K242" s="8"/>
    </row>
    <row r="243" customFormat="false" ht="15" hidden="false" customHeight="false" outlineLevel="0" collapsed="false">
      <c r="A243" s="13"/>
      <c r="B243" s="13"/>
      <c r="C243" s="13"/>
      <c r="D243" s="18"/>
      <c r="E243" s="19"/>
      <c r="F243" s="17" t="str">
        <f aca="false">IF(OR(B243="",D243=""),"",IFERROR((D243-INDEX(Requests!$K$2:$K$301,MATCH(B243,Requests!$A$2:$A$301,0)))*24,""))</f>
        <v/>
      </c>
      <c r="G243" s="15" t="str">
        <f aca="false">IF(F243="","",IF(F243&lt;=24,"Y","N"))</f>
        <v/>
      </c>
      <c r="H243" s="13"/>
      <c r="I243" s="15" t="str">
        <f aca="false">IF(D243="","",INT((D243-Settings!$B$2)/7)+1)</f>
        <v/>
      </c>
      <c r="J243" s="8"/>
      <c r="K243" s="8"/>
    </row>
    <row r="244" customFormat="false" ht="15" hidden="false" customHeight="false" outlineLevel="0" collapsed="false">
      <c r="A244" s="13"/>
      <c r="B244" s="13"/>
      <c r="C244" s="13"/>
      <c r="D244" s="18"/>
      <c r="E244" s="19"/>
      <c r="F244" s="17" t="str">
        <f aca="false">IF(OR(B244="",D244=""),"",IFERROR((D244-INDEX(Requests!$K$2:$K$301,MATCH(B244,Requests!$A$2:$A$301,0)))*24,""))</f>
        <v/>
      </c>
      <c r="G244" s="15" t="str">
        <f aca="false">IF(F244="","",IF(F244&lt;=24,"Y","N"))</f>
        <v/>
      </c>
      <c r="H244" s="13"/>
      <c r="I244" s="15" t="str">
        <f aca="false">IF(D244="","",INT((D244-Settings!$B$2)/7)+1)</f>
        <v/>
      </c>
      <c r="J244" s="8"/>
      <c r="K244" s="8"/>
    </row>
    <row r="245" customFormat="false" ht="15" hidden="false" customHeight="false" outlineLevel="0" collapsed="false">
      <c r="A245" s="13"/>
      <c r="B245" s="13"/>
      <c r="C245" s="13"/>
      <c r="D245" s="18"/>
      <c r="E245" s="19"/>
      <c r="F245" s="17" t="str">
        <f aca="false">IF(OR(B245="",D245=""),"",IFERROR((D245-INDEX(Requests!$K$2:$K$301,MATCH(B245,Requests!$A$2:$A$301,0)))*24,""))</f>
        <v/>
      </c>
      <c r="G245" s="15" t="str">
        <f aca="false">IF(F245="","",IF(F245&lt;=24,"Y","N"))</f>
        <v/>
      </c>
      <c r="H245" s="13"/>
      <c r="I245" s="15" t="str">
        <f aca="false">IF(D245="","",INT((D245-Settings!$B$2)/7)+1)</f>
        <v/>
      </c>
      <c r="J245" s="8"/>
      <c r="K245" s="8"/>
    </row>
    <row r="246" customFormat="false" ht="15" hidden="false" customHeight="false" outlineLevel="0" collapsed="false">
      <c r="A246" s="13"/>
      <c r="B246" s="13"/>
      <c r="C246" s="13"/>
      <c r="D246" s="18"/>
      <c r="E246" s="19"/>
      <c r="F246" s="17" t="str">
        <f aca="false">IF(OR(B246="",D246=""),"",IFERROR((D246-INDEX(Requests!$K$2:$K$301,MATCH(B246,Requests!$A$2:$A$301,0)))*24,""))</f>
        <v/>
      </c>
      <c r="G246" s="15" t="str">
        <f aca="false">IF(F246="","",IF(F246&lt;=24,"Y","N"))</f>
        <v/>
      </c>
      <c r="H246" s="13"/>
      <c r="I246" s="15" t="str">
        <f aca="false">IF(D246="","",INT((D246-Settings!$B$2)/7)+1)</f>
        <v/>
      </c>
      <c r="J246" s="8"/>
      <c r="K246" s="8"/>
    </row>
    <row r="247" customFormat="false" ht="15" hidden="false" customHeight="false" outlineLevel="0" collapsed="false">
      <c r="A247" s="13"/>
      <c r="B247" s="13"/>
      <c r="C247" s="13"/>
      <c r="D247" s="18"/>
      <c r="E247" s="19"/>
      <c r="F247" s="17" t="str">
        <f aca="false">IF(OR(B247="",D247=""),"",IFERROR((D247-INDEX(Requests!$K$2:$K$301,MATCH(B247,Requests!$A$2:$A$301,0)))*24,""))</f>
        <v/>
      </c>
      <c r="G247" s="15" t="str">
        <f aca="false">IF(F247="","",IF(F247&lt;=24,"Y","N"))</f>
        <v/>
      </c>
      <c r="H247" s="13"/>
      <c r="I247" s="15" t="str">
        <f aca="false">IF(D247="","",INT((D247-Settings!$B$2)/7)+1)</f>
        <v/>
      </c>
      <c r="J247" s="8"/>
      <c r="K247" s="8"/>
    </row>
    <row r="248" customFormat="false" ht="15" hidden="false" customHeight="false" outlineLevel="0" collapsed="false">
      <c r="A248" s="13"/>
      <c r="B248" s="13"/>
      <c r="C248" s="13"/>
      <c r="D248" s="18"/>
      <c r="E248" s="19"/>
      <c r="F248" s="17" t="str">
        <f aca="false">IF(OR(B248="",D248=""),"",IFERROR((D248-INDEX(Requests!$K$2:$K$301,MATCH(B248,Requests!$A$2:$A$301,0)))*24,""))</f>
        <v/>
      </c>
      <c r="G248" s="15" t="str">
        <f aca="false">IF(F248="","",IF(F248&lt;=24,"Y","N"))</f>
        <v/>
      </c>
      <c r="H248" s="13"/>
      <c r="I248" s="15" t="str">
        <f aca="false">IF(D248="","",INT((D248-Settings!$B$2)/7)+1)</f>
        <v/>
      </c>
      <c r="J248" s="8"/>
      <c r="K248" s="8"/>
    </row>
    <row r="249" customFormat="false" ht="15" hidden="false" customHeight="false" outlineLevel="0" collapsed="false">
      <c r="A249" s="13"/>
      <c r="B249" s="13"/>
      <c r="C249" s="13"/>
      <c r="D249" s="18"/>
      <c r="E249" s="19"/>
      <c r="F249" s="17" t="str">
        <f aca="false">IF(OR(B249="",D249=""),"",IFERROR((D249-INDEX(Requests!$K$2:$K$301,MATCH(B249,Requests!$A$2:$A$301,0)))*24,""))</f>
        <v/>
      </c>
      <c r="G249" s="15" t="str">
        <f aca="false">IF(F249="","",IF(F249&lt;=24,"Y","N"))</f>
        <v/>
      </c>
      <c r="H249" s="13"/>
      <c r="I249" s="15" t="str">
        <f aca="false">IF(D249="","",INT((D249-Settings!$B$2)/7)+1)</f>
        <v/>
      </c>
      <c r="J249" s="8"/>
      <c r="K249" s="8"/>
    </row>
    <row r="250" customFormat="false" ht="15" hidden="false" customHeight="false" outlineLevel="0" collapsed="false">
      <c r="A250" s="13"/>
      <c r="B250" s="13"/>
      <c r="C250" s="13"/>
      <c r="D250" s="18"/>
      <c r="E250" s="19"/>
      <c r="F250" s="17" t="str">
        <f aca="false">IF(OR(B250="",D250=""),"",IFERROR((D250-INDEX(Requests!$K$2:$K$301,MATCH(B250,Requests!$A$2:$A$301,0)))*24,""))</f>
        <v/>
      </c>
      <c r="G250" s="15" t="str">
        <f aca="false">IF(F250="","",IF(F250&lt;=24,"Y","N"))</f>
        <v/>
      </c>
      <c r="H250" s="13"/>
      <c r="I250" s="15" t="str">
        <f aca="false">IF(D250="","",INT((D250-Settings!$B$2)/7)+1)</f>
        <v/>
      </c>
      <c r="J250" s="8"/>
      <c r="K250" s="8"/>
    </row>
    <row r="251" customFormat="false" ht="15" hidden="false" customHeight="false" outlineLevel="0" collapsed="false">
      <c r="A251" s="13"/>
      <c r="B251" s="13"/>
      <c r="C251" s="13"/>
      <c r="D251" s="18"/>
      <c r="E251" s="19"/>
      <c r="F251" s="17" t="str">
        <f aca="false">IF(OR(B251="",D251=""),"",IFERROR((D251-INDEX(Requests!$K$2:$K$301,MATCH(B251,Requests!$A$2:$A$301,0)))*24,""))</f>
        <v/>
      </c>
      <c r="G251" s="15" t="str">
        <f aca="false">IF(F251="","",IF(F251&lt;=24,"Y","N"))</f>
        <v/>
      </c>
      <c r="H251" s="13"/>
      <c r="I251" s="15" t="str">
        <f aca="false">IF(D251="","",INT((D251-Settings!$B$2)/7)+1)</f>
        <v/>
      </c>
      <c r="J251" s="8"/>
      <c r="K251" s="8"/>
    </row>
    <row r="252" customFormat="false" ht="15" hidden="false" customHeight="false" outlineLevel="0" collapsed="false">
      <c r="A252" s="13"/>
      <c r="B252" s="13"/>
      <c r="C252" s="13"/>
      <c r="D252" s="18"/>
      <c r="E252" s="19"/>
      <c r="F252" s="17" t="str">
        <f aca="false">IF(OR(B252="",D252=""),"",IFERROR((D252-INDEX(Requests!$K$2:$K$301,MATCH(B252,Requests!$A$2:$A$301,0)))*24,""))</f>
        <v/>
      </c>
      <c r="G252" s="15" t="str">
        <f aca="false">IF(F252="","",IF(F252&lt;=24,"Y","N"))</f>
        <v/>
      </c>
      <c r="H252" s="13"/>
      <c r="I252" s="15" t="str">
        <f aca="false">IF(D252="","",INT((D252-Settings!$B$2)/7)+1)</f>
        <v/>
      </c>
      <c r="J252" s="8"/>
      <c r="K252" s="8"/>
    </row>
    <row r="253" customFormat="false" ht="15" hidden="false" customHeight="false" outlineLevel="0" collapsed="false">
      <c r="A253" s="13"/>
      <c r="B253" s="13"/>
      <c r="C253" s="13"/>
      <c r="D253" s="18"/>
      <c r="E253" s="19"/>
      <c r="F253" s="17" t="str">
        <f aca="false">IF(OR(B253="",D253=""),"",IFERROR((D253-INDEX(Requests!$K$2:$K$301,MATCH(B253,Requests!$A$2:$A$301,0)))*24,""))</f>
        <v/>
      </c>
      <c r="G253" s="15" t="str">
        <f aca="false">IF(F253="","",IF(F253&lt;=24,"Y","N"))</f>
        <v/>
      </c>
      <c r="H253" s="13"/>
      <c r="I253" s="15" t="str">
        <f aca="false">IF(D253="","",INT((D253-Settings!$B$2)/7)+1)</f>
        <v/>
      </c>
      <c r="J253" s="8"/>
      <c r="K253" s="8"/>
    </row>
    <row r="254" customFormat="false" ht="15" hidden="false" customHeight="false" outlineLevel="0" collapsed="false">
      <c r="A254" s="13"/>
      <c r="B254" s="13"/>
      <c r="C254" s="13"/>
      <c r="D254" s="18"/>
      <c r="E254" s="19"/>
      <c r="F254" s="17" t="str">
        <f aca="false">IF(OR(B254="",D254=""),"",IFERROR((D254-INDEX(Requests!$K$2:$K$301,MATCH(B254,Requests!$A$2:$A$301,0)))*24,""))</f>
        <v/>
      </c>
      <c r="G254" s="15" t="str">
        <f aca="false">IF(F254="","",IF(F254&lt;=24,"Y","N"))</f>
        <v/>
      </c>
      <c r="H254" s="13"/>
      <c r="I254" s="15" t="str">
        <f aca="false">IF(D254="","",INT((D254-Settings!$B$2)/7)+1)</f>
        <v/>
      </c>
      <c r="J254" s="8"/>
      <c r="K254" s="8"/>
    </row>
    <row r="255" customFormat="false" ht="15" hidden="false" customHeight="false" outlineLevel="0" collapsed="false">
      <c r="A255" s="13"/>
      <c r="B255" s="13"/>
      <c r="C255" s="13"/>
      <c r="D255" s="18"/>
      <c r="E255" s="19"/>
      <c r="F255" s="17" t="str">
        <f aca="false">IF(OR(B255="",D255=""),"",IFERROR((D255-INDEX(Requests!$K$2:$K$301,MATCH(B255,Requests!$A$2:$A$301,0)))*24,""))</f>
        <v/>
      </c>
      <c r="G255" s="15" t="str">
        <f aca="false">IF(F255="","",IF(F255&lt;=24,"Y","N"))</f>
        <v/>
      </c>
      <c r="H255" s="13"/>
      <c r="I255" s="15" t="str">
        <f aca="false">IF(D255="","",INT((D255-Settings!$B$2)/7)+1)</f>
        <v/>
      </c>
      <c r="J255" s="8"/>
      <c r="K255" s="8"/>
    </row>
    <row r="256" customFormat="false" ht="15" hidden="false" customHeight="false" outlineLevel="0" collapsed="false">
      <c r="A256" s="13"/>
      <c r="B256" s="13"/>
      <c r="C256" s="13"/>
      <c r="D256" s="18"/>
      <c r="E256" s="19"/>
      <c r="F256" s="17" t="str">
        <f aca="false">IF(OR(B256="",D256=""),"",IFERROR((D256-INDEX(Requests!$K$2:$K$301,MATCH(B256,Requests!$A$2:$A$301,0)))*24,""))</f>
        <v/>
      </c>
      <c r="G256" s="15" t="str">
        <f aca="false">IF(F256="","",IF(F256&lt;=24,"Y","N"))</f>
        <v/>
      </c>
      <c r="H256" s="13"/>
      <c r="I256" s="15" t="str">
        <f aca="false">IF(D256="","",INT((D256-Settings!$B$2)/7)+1)</f>
        <v/>
      </c>
      <c r="J256" s="8"/>
      <c r="K256" s="8"/>
    </row>
    <row r="257" customFormat="false" ht="15" hidden="false" customHeight="false" outlineLevel="0" collapsed="false">
      <c r="A257" s="13"/>
      <c r="B257" s="13"/>
      <c r="C257" s="13"/>
      <c r="D257" s="18"/>
      <c r="E257" s="19"/>
      <c r="F257" s="17" t="str">
        <f aca="false">IF(OR(B257="",D257=""),"",IFERROR((D257-INDEX(Requests!$K$2:$K$301,MATCH(B257,Requests!$A$2:$A$301,0)))*24,""))</f>
        <v/>
      </c>
      <c r="G257" s="15" t="str">
        <f aca="false">IF(F257="","",IF(F257&lt;=24,"Y","N"))</f>
        <v/>
      </c>
      <c r="H257" s="13"/>
      <c r="I257" s="15" t="str">
        <f aca="false">IF(D257="","",INT((D257-Settings!$B$2)/7)+1)</f>
        <v/>
      </c>
      <c r="J257" s="8"/>
      <c r="K257" s="8"/>
    </row>
    <row r="258" customFormat="false" ht="15" hidden="false" customHeight="false" outlineLevel="0" collapsed="false">
      <c r="A258" s="13"/>
      <c r="B258" s="13"/>
      <c r="C258" s="13"/>
      <c r="D258" s="18"/>
      <c r="E258" s="19"/>
      <c r="F258" s="17" t="str">
        <f aca="false">IF(OR(B258="",D258=""),"",IFERROR((D258-INDEX(Requests!$K$2:$K$301,MATCH(B258,Requests!$A$2:$A$301,0)))*24,""))</f>
        <v/>
      </c>
      <c r="G258" s="15" t="str">
        <f aca="false">IF(F258="","",IF(F258&lt;=24,"Y","N"))</f>
        <v/>
      </c>
      <c r="H258" s="13"/>
      <c r="I258" s="15" t="str">
        <f aca="false">IF(D258="","",INT((D258-Settings!$B$2)/7)+1)</f>
        <v/>
      </c>
      <c r="J258" s="8"/>
      <c r="K258" s="8"/>
    </row>
    <row r="259" customFormat="false" ht="15" hidden="false" customHeight="false" outlineLevel="0" collapsed="false">
      <c r="A259" s="13"/>
      <c r="B259" s="13"/>
      <c r="C259" s="13"/>
      <c r="D259" s="18"/>
      <c r="E259" s="19"/>
      <c r="F259" s="17" t="str">
        <f aca="false">IF(OR(B259="",D259=""),"",IFERROR((D259-INDEX(Requests!$K$2:$K$301,MATCH(B259,Requests!$A$2:$A$301,0)))*24,""))</f>
        <v/>
      </c>
      <c r="G259" s="15" t="str">
        <f aca="false">IF(F259="","",IF(F259&lt;=24,"Y","N"))</f>
        <v/>
      </c>
      <c r="H259" s="13"/>
      <c r="I259" s="15" t="str">
        <f aca="false">IF(D259="","",INT((D259-Settings!$B$2)/7)+1)</f>
        <v/>
      </c>
      <c r="J259" s="8"/>
      <c r="K259" s="8"/>
    </row>
    <row r="260" customFormat="false" ht="15" hidden="false" customHeight="false" outlineLevel="0" collapsed="false">
      <c r="A260" s="13"/>
      <c r="B260" s="13"/>
      <c r="C260" s="13"/>
      <c r="D260" s="18"/>
      <c r="E260" s="19"/>
      <c r="F260" s="17" t="str">
        <f aca="false">IF(OR(B260="",D260=""),"",IFERROR((D260-INDEX(Requests!$K$2:$K$301,MATCH(B260,Requests!$A$2:$A$301,0)))*24,""))</f>
        <v/>
      </c>
      <c r="G260" s="15" t="str">
        <f aca="false">IF(F260="","",IF(F260&lt;=24,"Y","N"))</f>
        <v/>
      </c>
      <c r="H260" s="13"/>
      <c r="I260" s="15" t="str">
        <f aca="false">IF(D260="","",INT((D260-Settings!$B$2)/7)+1)</f>
        <v/>
      </c>
      <c r="J260" s="8"/>
      <c r="K260" s="8"/>
    </row>
    <row r="261" customFormat="false" ht="15" hidden="false" customHeight="false" outlineLevel="0" collapsed="false">
      <c r="A261" s="13"/>
      <c r="B261" s="13"/>
      <c r="C261" s="13"/>
      <c r="D261" s="18"/>
      <c r="E261" s="19"/>
      <c r="F261" s="17" t="str">
        <f aca="false">IF(OR(B261="",D261=""),"",IFERROR((D261-INDEX(Requests!$K$2:$K$301,MATCH(B261,Requests!$A$2:$A$301,0)))*24,""))</f>
        <v/>
      </c>
      <c r="G261" s="15" t="str">
        <f aca="false">IF(F261="","",IF(F261&lt;=24,"Y","N"))</f>
        <v/>
      </c>
      <c r="H261" s="13"/>
      <c r="I261" s="15" t="str">
        <f aca="false">IF(D261="","",INT((D261-Settings!$B$2)/7)+1)</f>
        <v/>
      </c>
      <c r="J261" s="8"/>
      <c r="K261" s="8"/>
    </row>
    <row r="262" customFormat="false" ht="15" hidden="false" customHeight="false" outlineLevel="0" collapsed="false">
      <c r="A262" s="13"/>
      <c r="B262" s="13"/>
      <c r="C262" s="13"/>
      <c r="D262" s="18"/>
      <c r="E262" s="19"/>
      <c r="F262" s="17" t="str">
        <f aca="false">IF(OR(B262="",D262=""),"",IFERROR((D262-INDEX(Requests!$K$2:$K$301,MATCH(B262,Requests!$A$2:$A$301,0)))*24,""))</f>
        <v/>
      </c>
      <c r="G262" s="15" t="str">
        <f aca="false">IF(F262="","",IF(F262&lt;=24,"Y","N"))</f>
        <v/>
      </c>
      <c r="H262" s="13"/>
      <c r="I262" s="15" t="str">
        <f aca="false">IF(D262="","",INT((D262-Settings!$B$2)/7)+1)</f>
        <v/>
      </c>
      <c r="J262" s="8"/>
      <c r="K262" s="8"/>
    </row>
    <row r="263" customFormat="false" ht="15" hidden="false" customHeight="false" outlineLevel="0" collapsed="false">
      <c r="A263" s="13"/>
      <c r="B263" s="13"/>
      <c r="C263" s="13"/>
      <c r="D263" s="18"/>
      <c r="E263" s="19"/>
      <c r="F263" s="17" t="str">
        <f aca="false">IF(OR(B263="",D263=""),"",IFERROR((D263-INDEX(Requests!$K$2:$K$301,MATCH(B263,Requests!$A$2:$A$301,0)))*24,""))</f>
        <v/>
      </c>
      <c r="G263" s="15" t="str">
        <f aca="false">IF(F263="","",IF(F263&lt;=24,"Y","N"))</f>
        <v/>
      </c>
      <c r="H263" s="13"/>
      <c r="I263" s="15" t="str">
        <f aca="false">IF(D263="","",INT((D263-Settings!$B$2)/7)+1)</f>
        <v/>
      </c>
      <c r="J263" s="8"/>
      <c r="K263" s="8"/>
    </row>
    <row r="264" customFormat="false" ht="15" hidden="false" customHeight="false" outlineLevel="0" collapsed="false">
      <c r="A264" s="13"/>
      <c r="B264" s="13"/>
      <c r="C264" s="13"/>
      <c r="D264" s="18"/>
      <c r="E264" s="19"/>
      <c r="F264" s="17" t="str">
        <f aca="false">IF(OR(B264="",D264=""),"",IFERROR((D264-INDEX(Requests!$K$2:$K$301,MATCH(B264,Requests!$A$2:$A$301,0)))*24,""))</f>
        <v/>
      </c>
      <c r="G264" s="15" t="str">
        <f aca="false">IF(F264="","",IF(F264&lt;=24,"Y","N"))</f>
        <v/>
      </c>
      <c r="H264" s="13"/>
      <c r="I264" s="15" t="str">
        <f aca="false">IF(D264="","",INT((D264-Settings!$B$2)/7)+1)</f>
        <v/>
      </c>
      <c r="J264" s="8"/>
      <c r="K264" s="8"/>
    </row>
    <row r="265" customFormat="false" ht="15" hidden="false" customHeight="false" outlineLevel="0" collapsed="false">
      <c r="A265" s="13"/>
      <c r="B265" s="13"/>
      <c r="C265" s="13"/>
      <c r="D265" s="18"/>
      <c r="E265" s="19"/>
      <c r="F265" s="17" t="str">
        <f aca="false">IF(OR(B265="",D265=""),"",IFERROR((D265-INDEX(Requests!$K$2:$K$301,MATCH(B265,Requests!$A$2:$A$301,0)))*24,""))</f>
        <v/>
      </c>
      <c r="G265" s="15" t="str">
        <f aca="false">IF(F265="","",IF(F265&lt;=24,"Y","N"))</f>
        <v/>
      </c>
      <c r="H265" s="13"/>
      <c r="I265" s="15" t="str">
        <f aca="false">IF(D265="","",INT((D265-Settings!$B$2)/7)+1)</f>
        <v/>
      </c>
      <c r="J265" s="8"/>
      <c r="K265" s="8"/>
    </row>
    <row r="266" customFormat="false" ht="15" hidden="false" customHeight="false" outlineLevel="0" collapsed="false">
      <c r="A266" s="13"/>
      <c r="B266" s="13"/>
      <c r="C266" s="13"/>
      <c r="D266" s="18"/>
      <c r="E266" s="19"/>
      <c r="F266" s="17" t="str">
        <f aca="false">IF(OR(B266="",D266=""),"",IFERROR((D266-INDEX(Requests!$K$2:$K$301,MATCH(B266,Requests!$A$2:$A$301,0)))*24,""))</f>
        <v/>
      </c>
      <c r="G266" s="15" t="str">
        <f aca="false">IF(F266="","",IF(F266&lt;=24,"Y","N"))</f>
        <v/>
      </c>
      <c r="H266" s="13"/>
      <c r="I266" s="15" t="str">
        <f aca="false">IF(D266="","",INT((D266-Settings!$B$2)/7)+1)</f>
        <v/>
      </c>
      <c r="J266" s="8"/>
      <c r="K266" s="8"/>
    </row>
    <row r="267" customFormat="false" ht="15" hidden="false" customHeight="false" outlineLevel="0" collapsed="false">
      <c r="A267" s="13"/>
      <c r="B267" s="13"/>
      <c r="C267" s="13"/>
      <c r="D267" s="18"/>
      <c r="E267" s="19"/>
      <c r="F267" s="17" t="str">
        <f aca="false">IF(OR(B267="",D267=""),"",IFERROR((D267-INDEX(Requests!$K$2:$K$301,MATCH(B267,Requests!$A$2:$A$301,0)))*24,""))</f>
        <v/>
      </c>
      <c r="G267" s="15" t="str">
        <f aca="false">IF(F267="","",IF(F267&lt;=24,"Y","N"))</f>
        <v/>
      </c>
      <c r="H267" s="13"/>
      <c r="I267" s="15" t="str">
        <f aca="false">IF(D267="","",INT((D267-Settings!$B$2)/7)+1)</f>
        <v/>
      </c>
      <c r="J267" s="8"/>
      <c r="K267" s="8"/>
    </row>
    <row r="268" customFormat="false" ht="15" hidden="false" customHeight="false" outlineLevel="0" collapsed="false">
      <c r="A268" s="13"/>
      <c r="B268" s="13"/>
      <c r="C268" s="13"/>
      <c r="D268" s="18"/>
      <c r="E268" s="19"/>
      <c r="F268" s="17" t="str">
        <f aca="false">IF(OR(B268="",D268=""),"",IFERROR((D268-INDEX(Requests!$K$2:$K$301,MATCH(B268,Requests!$A$2:$A$301,0)))*24,""))</f>
        <v/>
      </c>
      <c r="G268" s="15" t="str">
        <f aca="false">IF(F268="","",IF(F268&lt;=24,"Y","N"))</f>
        <v/>
      </c>
      <c r="H268" s="13"/>
      <c r="I268" s="15" t="str">
        <f aca="false">IF(D268="","",INT((D268-Settings!$B$2)/7)+1)</f>
        <v/>
      </c>
      <c r="J268" s="8"/>
      <c r="K268" s="8"/>
    </row>
    <row r="269" customFormat="false" ht="15" hidden="false" customHeight="false" outlineLevel="0" collapsed="false">
      <c r="A269" s="13"/>
      <c r="B269" s="13"/>
      <c r="C269" s="13"/>
      <c r="D269" s="18"/>
      <c r="E269" s="19"/>
      <c r="F269" s="17" t="str">
        <f aca="false">IF(OR(B269="",D269=""),"",IFERROR((D269-INDEX(Requests!$K$2:$K$301,MATCH(B269,Requests!$A$2:$A$301,0)))*24,""))</f>
        <v/>
      </c>
      <c r="G269" s="15" t="str">
        <f aca="false">IF(F269="","",IF(F269&lt;=24,"Y","N"))</f>
        <v/>
      </c>
      <c r="H269" s="13"/>
      <c r="I269" s="15" t="str">
        <f aca="false">IF(D269="","",INT((D269-Settings!$B$2)/7)+1)</f>
        <v/>
      </c>
      <c r="J269" s="8"/>
      <c r="K269" s="8"/>
    </row>
    <row r="270" customFormat="false" ht="15" hidden="false" customHeight="false" outlineLevel="0" collapsed="false">
      <c r="A270" s="13"/>
      <c r="B270" s="13"/>
      <c r="C270" s="13"/>
      <c r="D270" s="18"/>
      <c r="E270" s="19"/>
      <c r="F270" s="17" t="str">
        <f aca="false">IF(OR(B270="",D270=""),"",IFERROR((D270-INDEX(Requests!$K$2:$K$301,MATCH(B270,Requests!$A$2:$A$301,0)))*24,""))</f>
        <v/>
      </c>
      <c r="G270" s="15" t="str">
        <f aca="false">IF(F270="","",IF(F270&lt;=24,"Y","N"))</f>
        <v/>
      </c>
      <c r="H270" s="13"/>
      <c r="I270" s="15" t="str">
        <f aca="false">IF(D270="","",INT((D270-Settings!$B$2)/7)+1)</f>
        <v/>
      </c>
      <c r="J270" s="8"/>
      <c r="K270" s="8"/>
    </row>
    <row r="271" customFormat="false" ht="15" hidden="false" customHeight="false" outlineLevel="0" collapsed="false">
      <c r="A271" s="13"/>
      <c r="B271" s="13"/>
      <c r="C271" s="13"/>
      <c r="D271" s="18"/>
      <c r="E271" s="19"/>
      <c r="F271" s="17" t="str">
        <f aca="false">IF(OR(B271="",D271=""),"",IFERROR((D271-INDEX(Requests!$K$2:$K$301,MATCH(B271,Requests!$A$2:$A$301,0)))*24,""))</f>
        <v/>
      </c>
      <c r="G271" s="15" t="str">
        <f aca="false">IF(F271="","",IF(F271&lt;=24,"Y","N"))</f>
        <v/>
      </c>
      <c r="H271" s="13"/>
      <c r="I271" s="15" t="str">
        <f aca="false">IF(D271="","",INT((D271-Settings!$B$2)/7)+1)</f>
        <v/>
      </c>
      <c r="J271" s="8"/>
      <c r="K271" s="8"/>
    </row>
    <row r="272" customFormat="false" ht="15" hidden="false" customHeight="false" outlineLevel="0" collapsed="false">
      <c r="A272" s="13"/>
      <c r="B272" s="13"/>
      <c r="C272" s="13"/>
      <c r="D272" s="18"/>
      <c r="E272" s="19"/>
      <c r="F272" s="17" t="str">
        <f aca="false">IF(OR(B272="",D272=""),"",IFERROR((D272-INDEX(Requests!$K$2:$K$301,MATCH(B272,Requests!$A$2:$A$301,0)))*24,""))</f>
        <v/>
      </c>
      <c r="G272" s="15" t="str">
        <f aca="false">IF(F272="","",IF(F272&lt;=24,"Y","N"))</f>
        <v/>
      </c>
      <c r="H272" s="13"/>
      <c r="I272" s="15" t="str">
        <f aca="false">IF(D272="","",INT((D272-Settings!$B$2)/7)+1)</f>
        <v/>
      </c>
      <c r="J272" s="8"/>
      <c r="K272" s="8"/>
    </row>
    <row r="273" customFormat="false" ht="15" hidden="false" customHeight="false" outlineLevel="0" collapsed="false">
      <c r="A273" s="13"/>
      <c r="B273" s="13"/>
      <c r="C273" s="13"/>
      <c r="D273" s="18"/>
      <c r="E273" s="19"/>
      <c r="F273" s="17" t="str">
        <f aca="false">IF(OR(B273="",D273=""),"",IFERROR((D273-INDEX(Requests!$K$2:$K$301,MATCH(B273,Requests!$A$2:$A$301,0)))*24,""))</f>
        <v/>
      </c>
      <c r="G273" s="15" t="str">
        <f aca="false">IF(F273="","",IF(F273&lt;=24,"Y","N"))</f>
        <v/>
      </c>
      <c r="H273" s="13"/>
      <c r="I273" s="15" t="str">
        <f aca="false">IF(D273="","",INT((D273-Settings!$B$2)/7)+1)</f>
        <v/>
      </c>
      <c r="J273" s="8"/>
      <c r="K273" s="8"/>
    </row>
    <row r="274" customFormat="false" ht="15" hidden="false" customHeight="false" outlineLevel="0" collapsed="false">
      <c r="A274" s="13"/>
      <c r="B274" s="13"/>
      <c r="C274" s="13"/>
      <c r="D274" s="18"/>
      <c r="E274" s="19"/>
      <c r="F274" s="17" t="str">
        <f aca="false">IF(OR(B274="",D274=""),"",IFERROR((D274-INDEX(Requests!$K$2:$K$301,MATCH(B274,Requests!$A$2:$A$301,0)))*24,""))</f>
        <v/>
      </c>
      <c r="G274" s="15" t="str">
        <f aca="false">IF(F274="","",IF(F274&lt;=24,"Y","N"))</f>
        <v/>
      </c>
      <c r="H274" s="13"/>
      <c r="I274" s="15" t="str">
        <f aca="false">IF(D274="","",INT((D274-Settings!$B$2)/7)+1)</f>
        <v/>
      </c>
      <c r="J274" s="8"/>
      <c r="K274" s="8"/>
    </row>
    <row r="275" customFormat="false" ht="15" hidden="false" customHeight="false" outlineLevel="0" collapsed="false">
      <c r="A275" s="13"/>
      <c r="B275" s="13"/>
      <c r="C275" s="13"/>
      <c r="D275" s="18"/>
      <c r="E275" s="19"/>
      <c r="F275" s="17" t="str">
        <f aca="false">IF(OR(B275="",D275=""),"",IFERROR((D275-INDEX(Requests!$K$2:$K$301,MATCH(B275,Requests!$A$2:$A$301,0)))*24,""))</f>
        <v/>
      </c>
      <c r="G275" s="15" t="str">
        <f aca="false">IF(F275="","",IF(F275&lt;=24,"Y","N"))</f>
        <v/>
      </c>
      <c r="H275" s="13"/>
      <c r="I275" s="15" t="str">
        <f aca="false">IF(D275="","",INT((D275-Settings!$B$2)/7)+1)</f>
        <v/>
      </c>
      <c r="J275" s="8"/>
      <c r="K275" s="8"/>
    </row>
    <row r="276" customFormat="false" ht="15" hidden="false" customHeight="false" outlineLevel="0" collapsed="false">
      <c r="A276" s="13"/>
      <c r="B276" s="13"/>
      <c r="C276" s="13"/>
      <c r="D276" s="18"/>
      <c r="E276" s="19"/>
      <c r="F276" s="17" t="str">
        <f aca="false">IF(OR(B276="",D276=""),"",IFERROR((D276-INDEX(Requests!$K$2:$K$301,MATCH(B276,Requests!$A$2:$A$301,0)))*24,""))</f>
        <v/>
      </c>
      <c r="G276" s="15" t="str">
        <f aca="false">IF(F276="","",IF(F276&lt;=24,"Y","N"))</f>
        <v/>
      </c>
      <c r="H276" s="13"/>
      <c r="I276" s="15" t="str">
        <f aca="false">IF(D276="","",INT((D276-Settings!$B$2)/7)+1)</f>
        <v/>
      </c>
      <c r="J276" s="8"/>
      <c r="K276" s="8"/>
    </row>
    <row r="277" customFormat="false" ht="15" hidden="false" customHeight="false" outlineLevel="0" collapsed="false">
      <c r="A277" s="13"/>
      <c r="B277" s="13"/>
      <c r="C277" s="13"/>
      <c r="D277" s="18"/>
      <c r="E277" s="19"/>
      <c r="F277" s="17" t="str">
        <f aca="false">IF(OR(B277="",D277=""),"",IFERROR((D277-INDEX(Requests!$K$2:$K$301,MATCH(B277,Requests!$A$2:$A$301,0)))*24,""))</f>
        <v/>
      </c>
      <c r="G277" s="15" t="str">
        <f aca="false">IF(F277="","",IF(F277&lt;=24,"Y","N"))</f>
        <v/>
      </c>
      <c r="H277" s="13"/>
      <c r="I277" s="15" t="str">
        <f aca="false">IF(D277="","",INT((D277-Settings!$B$2)/7)+1)</f>
        <v/>
      </c>
      <c r="J277" s="8"/>
      <c r="K277" s="8"/>
    </row>
    <row r="278" customFormat="false" ht="15" hidden="false" customHeight="false" outlineLevel="0" collapsed="false">
      <c r="A278" s="13"/>
      <c r="B278" s="13"/>
      <c r="C278" s="13"/>
      <c r="D278" s="18"/>
      <c r="E278" s="19"/>
      <c r="F278" s="17" t="str">
        <f aca="false">IF(OR(B278="",D278=""),"",IFERROR((D278-INDEX(Requests!$K$2:$K$301,MATCH(B278,Requests!$A$2:$A$301,0)))*24,""))</f>
        <v/>
      </c>
      <c r="G278" s="15" t="str">
        <f aca="false">IF(F278="","",IF(F278&lt;=24,"Y","N"))</f>
        <v/>
      </c>
      <c r="H278" s="13"/>
      <c r="I278" s="15" t="str">
        <f aca="false">IF(D278="","",INT((D278-Settings!$B$2)/7)+1)</f>
        <v/>
      </c>
      <c r="J278" s="8"/>
      <c r="K278" s="8"/>
    </row>
    <row r="279" customFormat="false" ht="15" hidden="false" customHeight="false" outlineLevel="0" collapsed="false">
      <c r="A279" s="13"/>
      <c r="B279" s="13"/>
      <c r="C279" s="13"/>
      <c r="D279" s="18"/>
      <c r="E279" s="19"/>
      <c r="F279" s="17" t="str">
        <f aca="false">IF(OR(B279="",D279=""),"",IFERROR((D279-INDEX(Requests!$K$2:$K$301,MATCH(B279,Requests!$A$2:$A$301,0)))*24,""))</f>
        <v/>
      </c>
      <c r="G279" s="15" t="str">
        <f aca="false">IF(F279="","",IF(F279&lt;=24,"Y","N"))</f>
        <v/>
      </c>
      <c r="H279" s="13"/>
      <c r="I279" s="15" t="str">
        <f aca="false">IF(D279="","",INT((D279-Settings!$B$2)/7)+1)</f>
        <v/>
      </c>
      <c r="J279" s="8"/>
      <c r="K279" s="8"/>
    </row>
    <row r="280" customFormat="false" ht="15" hidden="false" customHeight="false" outlineLevel="0" collapsed="false">
      <c r="A280" s="13"/>
      <c r="B280" s="13"/>
      <c r="C280" s="13"/>
      <c r="D280" s="18"/>
      <c r="E280" s="19"/>
      <c r="F280" s="17" t="str">
        <f aca="false">IF(OR(B280="",D280=""),"",IFERROR((D280-INDEX(Requests!$K$2:$K$301,MATCH(B280,Requests!$A$2:$A$301,0)))*24,""))</f>
        <v/>
      </c>
      <c r="G280" s="15" t="str">
        <f aca="false">IF(F280="","",IF(F280&lt;=24,"Y","N"))</f>
        <v/>
      </c>
      <c r="H280" s="13"/>
      <c r="I280" s="15" t="str">
        <f aca="false">IF(D280="","",INT((D280-Settings!$B$2)/7)+1)</f>
        <v/>
      </c>
      <c r="J280" s="8"/>
      <c r="K280" s="8"/>
    </row>
    <row r="281" customFormat="false" ht="15" hidden="false" customHeight="false" outlineLevel="0" collapsed="false">
      <c r="A281" s="13"/>
      <c r="B281" s="13"/>
      <c r="C281" s="13"/>
      <c r="D281" s="18"/>
      <c r="E281" s="19"/>
      <c r="F281" s="17" t="str">
        <f aca="false">IF(OR(B281="",D281=""),"",IFERROR((D281-INDEX(Requests!$K$2:$K$301,MATCH(B281,Requests!$A$2:$A$301,0)))*24,""))</f>
        <v/>
      </c>
      <c r="G281" s="15" t="str">
        <f aca="false">IF(F281="","",IF(F281&lt;=24,"Y","N"))</f>
        <v/>
      </c>
      <c r="H281" s="13"/>
      <c r="I281" s="15" t="str">
        <f aca="false">IF(D281="","",INT((D281-Settings!$B$2)/7)+1)</f>
        <v/>
      </c>
      <c r="J281" s="8"/>
      <c r="K281" s="8"/>
    </row>
    <row r="282" customFormat="false" ht="15" hidden="false" customHeight="false" outlineLevel="0" collapsed="false">
      <c r="A282" s="13"/>
      <c r="B282" s="13"/>
      <c r="C282" s="13"/>
      <c r="D282" s="18"/>
      <c r="E282" s="19"/>
      <c r="F282" s="17" t="str">
        <f aca="false">IF(OR(B282="",D282=""),"",IFERROR((D282-INDEX(Requests!$K$2:$K$301,MATCH(B282,Requests!$A$2:$A$301,0)))*24,""))</f>
        <v/>
      </c>
      <c r="G282" s="15" t="str">
        <f aca="false">IF(F282="","",IF(F282&lt;=24,"Y","N"))</f>
        <v/>
      </c>
      <c r="H282" s="13"/>
      <c r="I282" s="15" t="str">
        <f aca="false">IF(D282="","",INT((D282-Settings!$B$2)/7)+1)</f>
        <v/>
      </c>
      <c r="J282" s="8"/>
      <c r="K282" s="8"/>
    </row>
    <row r="283" customFormat="false" ht="15" hidden="false" customHeight="false" outlineLevel="0" collapsed="false">
      <c r="A283" s="13"/>
      <c r="B283" s="13"/>
      <c r="C283" s="13"/>
      <c r="D283" s="18"/>
      <c r="E283" s="19"/>
      <c r="F283" s="17" t="str">
        <f aca="false">IF(OR(B283="",D283=""),"",IFERROR((D283-INDEX(Requests!$K$2:$K$301,MATCH(B283,Requests!$A$2:$A$301,0)))*24,""))</f>
        <v/>
      </c>
      <c r="G283" s="15" t="str">
        <f aca="false">IF(F283="","",IF(F283&lt;=24,"Y","N"))</f>
        <v/>
      </c>
      <c r="H283" s="13"/>
      <c r="I283" s="15" t="str">
        <f aca="false">IF(D283="","",INT((D283-Settings!$B$2)/7)+1)</f>
        <v/>
      </c>
      <c r="J283" s="8"/>
      <c r="K283" s="8"/>
    </row>
    <row r="284" customFormat="false" ht="15" hidden="false" customHeight="false" outlineLevel="0" collapsed="false">
      <c r="A284" s="13"/>
      <c r="B284" s="13"/>
      <c r="C284" s="13"/>
      <c r="D284" s="18"/>
      <c r="E284" s="19"/>
      <c r="F284" s="17" t="str">
        <f aca="false">IF(OR(B284="",D284=""),"",IFERROR((D284-INDEX(Requests!$K$2:$K$301,MATCH(B284,Requests!$A$2:$A$301,0)))*24,""))</f>
        <v/>
      </c>
      <c r="G284" s="15" t="str">
        <f aca="false">IF(F284="","",IF(F284&lt;=24,"Y","N"))</f>
        <v/>
      </c>
      <c r="H284" s="13"/>
      <c r="I284" s="15" t="str">
        <f aca="false">IF(D284="","",INT((D284-Settings!$B$2)/7)+1)</f>
        <v/>
      </c>
      <c r="J284" s="8"/>
      <c r="K284" s="8"/>
    </row>
    <row r="285" customFormat="false" ht="15" hidden="false" customHeight="false" outlineLevel="0" collapsed="false">
      <c r="A285" s="13"/>
      <c r="B285" s="13"/>
      <c r="C285" s="13"/>
      <c r="D285" s="18"/>
      <c r="E285" s="19"/>
      <c r="F285" s="17" t="str">
        <f aca="false">IF(OR(B285="",D285=""),"",IFERROR((D285-INDEX(Requests!$K$2:$K$301,MATCH(B285,Requests!$A$2:$A$301,0)))*24,""))</f>
        <v/>
      </c>
      <c r="G285" s="15" t="str">
        <f aca="false">IF(F285="","",IF(F285&lt;=24,"Y","N"))</f>
        <v/>
      </c>
      <c r="H285" s="13"/>
      <c r="I285" s="15" t="str">
        <f aca="false">IF(D285="","",INT((D285-Settings!$B$2)/7)+1)</f>
        <v/>
      </c>
      <c r="J285" s="8"/>
      <c r="K285" s="8"/>
    </row>
    <row r="286" customFormat="false" ht="15" hidden="false" customHeight="false" outlineLevel="0" collapsed="false">
      <c r="A286" s="13"/>
      <c r="B286" s="13"/>
      <c r="C286" s="13"/>
      <c r="D286" s="18"/>
      <c r="E286" s="19"/>
      <c r="F286" s="17" t="str">
        <f aca="false">IF(OR(B286="",D286=""),"",IFERROR((D286-INDEX(Requests!$K$2:$K$301,MATCH(B286,Requests!$A$2:$A$301,0)))*24,""))</f>
        <v/>
      </c>
      <c r="G286" s="15" t="str">
        <f aca="false">IF(F286="","",IF(F286&lt;=24,"Y","N"))</f>
        <v/>
      </c>
      <c r="H286" s="13"/>
      <c r="I286" s="15" t="str">
        <f aca="false">IF(D286="","",INT((D286-Settings!$B$2)/7)+1)</f>
        <v/>
      </c>
      <c r="J286" s="8"/>
      <c r="K286" s="8"/>
    </row>
    <row r="287" customFormat="false" ht="15" hidden="false" customHeight="false" outlineLevel="0" collapsed="false">
      <c r="A287" s="13"/>
      <c r="B287" s="13"/>
      <c r="C287" s="13"/>
      <c r="D287" s="18"/>
      <c r="E287" s="19"/>
      <c r="F287" s="17" t="str">
        <f aca="false">IF(OR(B287="",D287=""),"",IFERROR((D287-INDEX(Requests!$K$2:$K$301,MATCH(B287,Requests!$A$2:$A$301,0)))*24,""))</f>
        <v/>
      </c>
      <c r="G287" s="15" t="str">
        <f aca="false">IF(F287="","",IF(F287&lt;=24,"Y","N"))</f>
        <v/>
      </c>
      <c r="H287" s="13"/>
      <c r="I287" s="15" t="str">
        <f aca="false">IF(D287="","",INT((D287-Settings!$B$2)/7)+1)</f>
        <v/>
      </c>
      <c r="J287" s="8"/>
      <c r="K287" s="8"/>
    </row>
    <row r="288" customFormat="false" ht="15" hidden="false" customHeight="false" outlineLevel="0" collapsed="false">
      <c r="A288" s="13"/>
      <c r="B288" s="13"/>
      <c r="C288" s="13"/>
      <c r="D288" s="18"/>
      <c r="E288" s="19"/>
      <c r="F288" s="17" t="str">
        <f aca="false">IF(OR(B288="",D288=""),"",IFERROR((D288-INDEX(Requests!$K$2:$K$301,MATCH(B288,Requests!$A$2:$A$301,0)))*24,""))</f>
        <v/>
      </c>
      <c r="G288" s="15" t="str">
        <f aca="false">IF(F288="","",IF(F288&lt;=24,"Y","N"))</f>
        <v/>
      </c>
      <c r="H288" s="13"/>
      <c r="I288" s="15" t="str">
        <f aca="false">IF(D288="","",INT((D288-Settings!$B$2)/7)+1)</f>
        <v/>
      </c>
      <c r="J288" s="8"/>
      <c r="K288" s="8"/>
    </row>
    <row r="289" customFormat="false" ht="15" hidden="false" customHeight="false" outlineLevel="0" collapsed="false">
      <c r="A289" s="13"/>
      <c r="B289" s="13"/>
      <c r="C289" s="13"/>
      <c r="D289" s="18"/>
      <c r="E289" s="19"/>
      <c r="F289" s="17" t="str">
        <f aca="false">IF(OR(B289="",D289=""),"",IFERROR((D289-INDEX(Requests!$K$2:$K$301,MATCH(B289,Requests!$A$2:$A$301,0)))*24,""))</f>
        <v/>
      </c>
      <c r="G289" s="15" t="str">
        <f aca="false">IF(F289="","",IF(F289&lt;=24,"Y","N"))</f>
        <v/>
      </c>
      <c r="H289" s="13"/>
      <c r="I289" s="15" t="str">
        <f aca="false">IF(D289="","",INT((D289-Settings!$B$2)/7)+1)</f>
        <v/>
      </c>
      <c r="J289" s="8"/>
      <c r="K289" s="8"/>
    </row>
    <row r="290" customFormat="false" ht="15" hidden="false" customHeight="false" outlineLevel="0" collapsed="false">
      <c r="A290" s="13"/>
      <c r="B290" s="13"/>
      <c r="C290" s="13"/>
      <c r="D290" s="18"/>
      <c r="E290" s="19"/>
      <c r="F290" s="17" t="str">
        <f aca="false">IF(OR(B290="",D290=""),"",IFERROR((D290-INDEX(Requests!$K$2:$K$301,MATCH(B290,Requests!$A$2:$A$301,0)))*24,""))</f>
        <v/>
      </c>
      <c r="G290" s="15" t="str">
        <f aca="false">IF(F290="","",IF(F290&lt;=24,"Y","N"))</f>
        <v/>
      </c>
      <c r="H290" s="13"/>
      <c r="I290" s="15" t="str">
        <f aca="false">IF(D290="","",INT((D290-Settings!$B$2)/7)+1)</f>
        <v/>
      </c>
      <c r="J290" s="8"/>
      <c r="K290" s="8"/>
    </row>
    <row r="291" customFormat="false" ht="15" hidden="false" customHeight="false" outlineLevel="0" collapsed="false">
      <c r="A291" s="13"/>
      <c r="B291" s="13"/>
      <c r="C291" s="13"/>
      <c r="D291" s="18"/>
      <c r="E291" s="19"/>
      <c r="F291" s="17" t="str">
        <f aca="false">IF(OR(B291="",D291=""),"",IFERROR((D291-INDEX(Requests!$K$2:$K$301,MATCH(B291,Requests!$A$2:$A$301,0)))*24,""))</f>
        <v/>
      </c>
      <c r="G291" s="15" t="str">
        <f aca="false">IF(F291="","",IF(F291&lt;=24,"Y","N"))</f>
        <v/>
      </c>
      <c r="H291" s="13"/>
      <c r="I291" s="15" t="str">
        <f aca="false">IF(D291="","",INT((D291-Settings!$B$2)/7)+1)</f>
        <v/>
      </c>
      <c r="J291" s="8"/>
      <c r="K291" s="8"/>
    </row>
    <row r="292" customFormat="false" ht="15" hidden="false" customHeight="false" outlineLevel="0" collapsed="false">
      <c r="A292" s="13"/>
      <c r="B292" s="13"/>
      <c r="C292" s="13"/>
      <c r="D292" s="18"/>
      <c r="E292" s="19"/>
      <c r="F292" s="17" t="str">
        <f aca="false">IF(OR(B292="",D292=""),"",IFERROR((D292-INDEX(Requests!$K$2:$K$301,MATCH(B292,Requests!$A$2:$A$301,0)))*24,""))</f>
        <v/>
      </c>
      <c r="G292" s="15" t="str">
        <f aca="false">IF(F292="","",IF(F292&lt;=24,"Y","N"))</f>
        <v/>
      </c>
      <c r="H292" s="13"/>
      <c r="I292" s="15" t="str">
        <f aca="false">IF(D292="","",INT((D292-Settings!$B$2)/7)+1)</f>
        <v/>
      </c>
      <c r="J292" s="8"/>
      <c r="K292" s="8"/>
    </row>
    <row r="293" customFormat="false" ht="15" hidden="false" customHeight="false" outlineLevel="0" collapsed="false">
      <c r="A293" s="13"/>
      <c r="B293" s="13"/>
      <c r="C293" s="13"/>
      <c r="D293" s="18"/>
      <c r="E293" s="19"/>
      <c r="F293" s="17" t="str">
        <f aca="false">IF(OR(B293="",D293=""),"",IFERROR((D293-INDEX(Requests!$K$2:$K$301,MATCH(B293,Requests!$A$2:$A$301,0)))*24,""))</f>
        <v/>
      </c>
      <c r="G293" s="15" t="str">
        <f aca="false">IF(F293="","",IF(F293&lt;=24,"Y","N"))</f>
        <v/>
      </c>
      <c r="H293" s="13"/>
      <c r="I293" s="15" t="str">
        <f aca="false">IF(D293="","",INT((D293-Settings!$B$2)/7)+1)</f>
        <v/>
      </c>
      <c r="J293" s="8"/>
      <c r="K293" s="8"/>
    </row>
    <row r="294" customFormat="false" ht="15" hidden="false" customHeight="false" outlineLevel="0" collapsed="false">
      <c r="A294" s="13"/>
      <c r="B294" s="13"/>
      <c r="C294" s="13"/>
      <c r="D294" s="18"/>
      <c r="E294" s="19"/>
      <c r="F294" s="17" t="str">
        <f aca="false">IF(OR(B294="",D294=""),"",IFERROR((D294-INDEX(Requests!$K$2:$K$301,MATCH(B294,Requests!$A$2:$A$301,0)))*24,""))</f>
        <v/>
      </c>
      <c r="G294" s="15" t="str">
        <f aca="false">IF(F294="","",IF(F294&lt;=24,"Y","N"))</f>
        <v/>
      </c>
      <c r="H294" s="13"/>
      <c r="I294" s="15" t="str">
        <f aca="false">IF(D294="","",INT((D294-Settings!$B$2)/7)+1)</f>
        <v/>
      </c>
      <c r="J294" s="8"/>
      <c r="K294" s="8"/>
    </row>
    <row r="295" customFormat="false" ht="15" hidden="false" customHeight="false" outlineLevel="0" collapsed="false">
      <c r="A295" s="13"/>
      <c r="B295" s="13"/>
      <c r="C295" s="13"/>
      <c r="D295" s="18"/>
      <c r="E295" s="19"/>
      <c r="F295" s="17" t="str">
        <f aca="false">IF(OR(B295="",D295=""),"",IFERROR((D295-INDEX(Requests!$K$2:$K$301,MATCH(B295,Requests!$A$2:$A$301,0)))*24,""))</f>
        <v/>
      </c>
      <c r="G295" s="15" t="str">
        <f aca="false">IF(F295="","",IF(F295&lt;=24,"Y","N"))</f>
        <v/>
      </c>
      <c r="H295" s="13"/>
      <c r="I295" s="15" t="str">
        <f aca="false">IF(D295="","",INT((D295-Settings!$B$2)/7)+1)</f>
        <v/>
      </c>
      <c r="J295" s="8"/>
      <c r="K295" s="8"/>
    </row>
    <row r="296" customFormat="false" ht="15" hidden="false" customHeight="false" outlineLevel="0" collapsed="false">
      <c r="A296" s="13"/>
      <c r="B296" s="13"/>
      <c r="C296" s="13"/>
      <c r="D296" s="18"/>
      <c r="E296" s="19"/>
      <c r="F296" s="17" t="str">
        <f aca="false">IF(OR(B296="",D296=""),"",IFERROR((D296-INDEX(Requests!$K$2:$K$301,MATCH(B296,Requests!$A$2:$A$301,0)))*24,""))</f>
        <v/>
      </c>
      <c r="G296" s="15" t="str">
        <f aca="false">IF(F296="","",IF(F296&lt;=24,"Y","N"))</f>
        <v/>
      </c>
      <c r="H296" s="13"/>
      <c r="I296" s="15" t="str">
        <f aca="false">IF(D296="","",INT((D296-Settings!$B$2)/7)+1)</f>
        <v/>
      </c>
      <c r="J296" s="8"/>
      <c r="K296" s="8"/>
    </row>
    <row r="297" customFormat="false" ht="15" hidden="false" customHeight="false" outlineLevel="0" collapsed="false">
      <c r="A297" s="13"/>
      <c r="B297" s="13"/>
      <c r="C297" s="13"/>
      <c r="D297" s="18"/>
      <c r="E297" s="19"/>
      <c r="F297" s="17" t="str">
        <f aca="false">IF(OR(B297="",D297=""),"",IFERROR((D297-INDEX(Requests!$K$2:$K$301,MATCH(B297,Requests!$A$2:$A$301,0)))*24,""))</f>
        <v/>
      </c>
      <c r="G297" s="15" t="str">
        <f aca="false">IF(F297="","",IF(F297&lt;=24,"Y","N"))</f>
        <v/>
      </c>
      <c r="H297" s="13"/>
      <c r="I297" s="15" t="str">
        <f aca="false">IF(D297="","",INT((D297-Settings!$B$2)/7)+1)</f>
        <v/>
      </c>
      <c r="J297" s="8"/>
      <c r="K297" s="8"/>
    </row>
    <row r="298" customFormat="false" ht="15" hidden="false" customHeight="false" outlineLevel="0" collapsed="false">
      <c r="A298" s="13"/>
      <c r="B298" s="13"/>
      <c r="C298" s="13"/>
      <c r="D298" s="18"/>
      <c r="E298" s="19"/>
      <c r="F298" s="17" t="str">
        <f aca="false">IF(OR(B298="",D298=""),"",IFERROR((D298-INDEX(Requests!$K$2:$K$301,MATCH(B298,Requests!$A$2:$A$301,0)))*24,""))</f>
        <v/>
      </c>
      <c r="G298" s="15" t="str">
        <f aca="false">IF(F298="","",IF(F298&lt;=24,"Y","N"))</f>
        <v/>
      </c>
      <c r="H298" s="13"/>
      <c r="I298" s="15" t="str">
        <f aca="false">IF(D298="","",INT((D298-Settings!$B$2)/7)+1)</f>
        <v/>
      </c>
      <c r="J298" s="8"/>
      <c r="K298" s="8"/>
    </row>
    <row r="299" customFormat="false" ht="15" hidden="false" customHeight="false" outlineLevel="0" collapsed="false">
      <c r="A299" s="13"/>
      <c r="B299" s="13"/>
      <c r="C299" s="13"/>
      <c r="D299" s="18"/>
      <c r="E299" s="19"/>
      <c r="F299" s="17" t="str">
        <f aca="false">IF(OR(B299="",D299=""),"",IFERROR((D299-INDEX(Requests!$K$2:$K$301,MATCH(B299,Requests!$A$2:$A$301,0)))*24,""))</f>
        <v/>
      </c>
      <c r="G299" s="15" t="str">
        <f aca="false">IF(F299="","",IF(F299&lt;=24,"Y","N"))</f>
        <v/>
      </c>
      <c r="H299" s="13"/>
      <c r="I299" s="15" t="str">
        <f aca="false">IF(D299="","",INT((D299-Settings!$B$2)/7)+1)</f>
        <v/>
      </c>
      <c r="J299" s="8"/>
      <c r="K299" s="8"/>
    </row>
    <row r="300" customFormat="false" ht="15" hidden="false" customHeight="false" outlineLevel="0" collapsed="false">
      <c r="A300" s="13"/>
      <c r="B300" s="13"/>
      <c r="C300" s="13"/>
      <c r="D300" s="18"/>
      <c r="E300" s="19"/>
      <c r="F300" s="17" t="str">
        <f aca="false">IF(OR(B300="",D300=""),"",IFERROR((D300-INDEX(Requests!$K$2:$K$301,MATCH(B300,Requests!$A$2:$A$301,0)))*24,""))</f>
        <v/>
      </c>
      <c r="G300" s="15" t="str">
        <f aca="false">IF(F300="","",IF(F300&lt;=24,"Y","N"))</f>
        <v/>
      </c>
      <c r="H300" s="13"/>
      <c r="I300" s="15" t="str">
        <f aca="false">IF(D300="","",INT((D300-Settings!$B$2)/7)+1)</f>
        <v/>
      </c>
      <c r="J300" s="8"/>
      <c r="K300" s="8"/>
    </row>
    <row r="301" customFormat="false" ht="15" hidden="false" customHeight="false" outlineLevel="0" collapsed="false">
      <c r="A301" s="13"/>
      <c r="B301" s="13"/>
      <c r="C301" s="13"/>
      <c r="D301" s="18"/>
      <c r="E301" s="19"/>
      <c r="F301" s="17" t="str">
        <f aca="false">IF(OR(B301="",D301=""),"",IFERROR((D301-INDEX(Requests!$K$2:$K$301,MATCH(B301,Requests!$A$2:$A$301,0)))*24,""))</f>
        <v/>
      </c>
      <c r="G301" s="15" t="str">
        <f aca="false">IF(F301="","",IF(F301&lt;=24,"Y","N"))</f>
        <v/>
      </c>
      <c r="H301" s="13"/>
      <c r="I301" s="15" t="str">
        <f aca="false">IF(D301="","",INT((D301-Settings!$B$2)/7)+1)</f>
        <v/>
      </c>
      <c r="J301" s="8"/>
      <c r="K30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13"/>
    <col collapsed="false" customWidth="true" hidden="false" outlineLevel="0" max="4" min="4" style="0" width="17"/>
    <col collapsed="false" customWidth="true" hidden="false" outlineLevel="0" max="5" min="5" style="0" width="22"/>
    <col collapsed="false" customWidth="true" hidden="false" outlineLevel="0" max="7" min="6" style="0" width="12"/>
    <col collapsed="false" customWidth="true" hidden="false" outlineLevel="0" max="8" min="8" style="0" width="29"/>
    <col collapsed="false" customWidth="true" hidden="false" outlineLevel="0" max="9" min="9" style="0" width="16"/>
    <col collapsed="false" customWidth="true" hidden="false" outlineLevel="0" max="10" min="10" style="0" width="14"/>
    <col collapsed="false" customWidth="true" hidden="false" outlineLevel="0" max="11" min="11" style="0" width="30"/>
  </cols>
  <sheetData>
    <row r="1" customFormat="false" ht="31.5" hidden="false" customHeight="true" outlineLevel="0" collapsed="false">
      <c r="A1" s="10" t="s">
        <v>124</v>
      </c>
      <c r="B1" s="10" t="s">
        <v>332</v>
      </c>
      <c r="C1" s="10" t="s">
        <v>54</v>
      </c>
      <c r="D1" s="10" t="s">
        <v>333</v>
      </c>
      <c r="E1" s="10" t="s">
        <v>334</v>
      </c>
      <c r="F1" s="10" t="s">
        <v>126</v>
      </c>
      <c r="G1" s="10" t="s">
        <v>335</v>
      </c>
      <c r="H1" s="10" t="s">
        <v>336</v>
      </c>
      <c r="I1" s="10" t="s">
        <v>337</v>
      </c>
      <c r="J1" s="10" t="s">
        <v>38</v>
      </c>
      <c r="K1" s="10" t="s">
        <v>338</v>
      </c>
      <c r="L1" s="8"/>
      <c r="M1" s="8" t="s">
        <v>69</v>
      </c>
    </row>
    <row r="2" customFormat="false" ht="15" hidden="false" customHeight="false" outlineLevel="0" collapsed="false">
      <c r="A2" s="13" t="s">
        <v>174</v>
      </c>
      <c r="B2" s="18" t="n">
        <v>46337.7604166667</v>
      </c>
      <c r="C2" s="13" t="s">
        <v>98</v>
      </c>
      <c r="D2" s="20" t="n">
        <f aca="false">IF(A2="","",SUMIFS(Quotes!$E$2:$E$301,Quotes!$B$2:$B$301,A2,Quotes!$C$2:$C$301,C2))</f>
        <v>900</v>
      </c>
      <c r="E2" s="20" t="n">
        <f aca="false">IF(A2="","",IF(D2&lt;500,25,IF(D2&lt;=1500,75,199)))</f>
        <v>75</v>
      </c>
      <c r="F2" s="15" t="n">
        <f aca="false">IF(B2="","",INT((B2-Settings!$B$2)/7)+1)</f>
        <v>2</v>
      </c>
      <c r="G2" s="16" t="b">
        <f aca="false">IF(F2="","",F2&gt;=Settings!$B$5)</f>
        <v>0</v>
      </c>
      <c r="H2" s="13"/>
      <c r="I2" s="13"/>
      <c r="J2" s="16" t="b">
        <f aca="false">IF(A2="","",IFERROR(INDEX(Requests!$E$2:$E$301,MATCH(A2,Requests!$A$2:$A$301,0)),FALSE()))</f>
        <v>1</v>
      </c>
      <c r="K2" s="15" t="n">
        <f aca="false">IF(A2="","",IF(AND(H2="Y",COUNTIFS($C$2:C2,C2,$H$2:H2,"Y")=1),1,0))</f>
        <v>0</v>
      </c>
      <c r="L2" s="8"/>
      <c r="M2" s="8"/>
    </row>
    <row r="3" customFormat="false" ht="15" hidden="false" customHeight="false" outlineLevel="0" collapsed="false">
      <c r="A3" s="13" t="s">
        <v>200</v>
      </c>
      <c r="B3" s="18" t="n">
        <v>46347.0833333333</v>
      </c>
      <c r="C3" s="13" t="s">
        <v>92</v>
      </c>
      <c r="D3" s="20" t="n">
        <f aca="false">IF(A3="","",SUMIFS(Quotes!$E$2:$E$301,Quotes!$B$2:$B$301,A3,Quotes!$C$2:$C$301,C3))</f>
        <v>520</v>
      </c>
      <c r="E3" s="20" t="n">
        <f aca="false">IF(A3="","",IF(D3&lt;500,25,IF(D3&lt;=1500,75,199)))</f>
        <v>75</v>
      </c>
      <c r="F3" s="15" t="n">
        <f aca="false">IF(B3="","",INT((B3-Settings!$B$2)/7)+1)</f>
        <v>3</v>
      </c>
      <c r="G3" s="16" t="b">
        <f aca="false">IF(F3="","",F3&gt;=Settings!$B$5)</f>
        <v>0</v>
      </c>
      <c r="H3" s="13"/>
      <c r="I3" s="13"/>
      <c r="J3" s="16" t="b">
        <f aca="false">IF(A3="","",IFERROR(INDEX(Requests!$E$2:$E$301,MATCH(A3,Requests!$A$2:$A$301,0)),FALSE()))</f>
        <v>1</v>
      </c>
      <c r="K3" s="15" t="n">
        <f aca="false">IF(A3="","",IF(AND(H3="Y",COUNTIFS($C$2:C3,C3,$H$2:H3,"Y")=1),1,0))</f>
        <v>0</v>
      </c>
      <c r="L3" s="8"/>
      <c r="M3" s="8"/>
    </row>
    <row r="4" customFormat="false" ht="15" hidden="false" customHeight="false" outlineLevel="0" collapsed="false">
      <c r="A4" s="13" t="s">
        <v>213</v>
      </c>
      <c r="B4" s="18" t="n">
        <v>46349.3541666667</v>
      </c>
      <c r="C4" s="13" t="s">
        <v>105</v>
      </c>
      <c r="D4" s="20" t="n">
        <f aca="false">IF(A4="","",SUMIFS(Quotes!$E$2:$E$301,Quotes!$B$2:$B$301,A4,Quotes!$C$2:$C$301,C4))</f>
        <v>900</v>
      </c>
      <c r="E4" s="20" t="n">
        <f aca="false">IF(A4="","",IF(D4&lt;500,25,IF(D4&lt;=1500,75,199)))</f>
        <v>75</v>
      </c>
      <c r="F4" s="15" t="n">
        <f aca="false">IF(B4="","",INT((B4-Settings!$B$2)/7)+1)</f>
        <v>4</v>
      </c>
      <c r="G4" s="16" t="b">
        <f aca="false">IF(F4="","",F4&gt;=Settings!$B$5)</f>
        <v>1</v>
      </c>
      <c r="H4" s="13" t="s">
        <v>339</v>
      </c>
      <c r="I4" s="13" t="s">
        <v>91</v>
      </c>
      <c r="J4" s="16" t="b">
        <f aca="false">IF(A4="","",IFERROR(INDEX(Requests!$E$2:$E$301,MATCH(A4,Requests!$A$2:$A$301,0)),FALSE()))</f>
        <v>1</v>
      </c>
      <c r="K4" s="15" t="n">
        <f aca="false">IF(A4="","",IF(AND(H4="Y",COUNTIFS($C$2:C4,C4,$H$2:H4,"Y")=1),1,0))</f>
        <v>0</v>
      </c>
      <c r="L4" s="8"/>
      <c r="M4" s="8"/>
    </row>
    <row r="5" customFormat="false" ht="15" hidden="false" customHeight="false" outlineLevel="0" collapsed="false">
      <c r="A5" s="13" t="s">
        <v>217</v>
      </c>
      <c r="B5" s="18" t="n">
        <v>46350.6145833333</v>
      </c>
      <c r="C5" s="13" t="s">
        <v>108</v>
      </c>
      <c r="D5" s="20" t="n">
        <f aca="false">IF(A5="","",SUMIFS(Quotes!$E$2:$E$301,Quotes!$B$2:$B$301,A5,Quotes!$C$2:$C$301,C5))</f>
        <v>650</v>
      </c>
      <c r="E5" s="20" t="n">
        <f aca="false">IF(A5="","",IF(D5&lt;500,25,IF(D5&lt;=1500,75,199)))</f>
        <v>75</v>
      </c>
      <c r="F5" s="15" t="n">
        <f aca="false">IF(B5="","",INT((B5-Settings!$B$2)/7)+1)</f>
        <v>4</v>
      </c>
      <c r="G5" s="16" t="b">
        <f aca="false">IF(F5="","",F5&gt;=Settings!$B$5)</f>
        <v>1</v>
      </c>
      <c r="H5" s="13" t="s">
        <v>76</v>
      </c>
      <c r="I5" s="13" t="s">
        <v>91</v>
      </c>
      <c r="J5" s="16" t="b">
        <f aca="false">IF(A5="","",IFERROR(INDEX(Requests!$E$2:$E$301,MATCH(A5,Requests!$A$2:$A$301,0)),FALSE()))</f>
        <v>1</v>
      </c>
      <c r="K5" s="15" t="n">
        <f aca="false">IF(A5="","",IF(AND(H5="Y",COUNTIFS($C$2:C5,C5,$H$2:H5,"Y")=1),1,0))</f>
        <v>1</v>
      </c>
      <c r="L5" s="8"/>
      <c r="M5" s="8"/>
    </row>
    <row r="6" customFormat="false" ht="15" hidden="false" customHeight="false" outlineLevel="0" collapsed="false">
      <c r="A6" s="13" t="s">
        <v>225</v>
      </c>
      <c r="B6" s="18" t="n">
        <v>46355.2083333333</v>
      </c>
      <c r="C6" s="13" t="s">
        <v>112</v>
      </c>
      <c r="D6" s="20" t="n">
        <f aca="false">IF(A6="","",SUMIFS(Quotes!$E$2:$E$301,Quotes!$B$2:$B$301,A6,Quotes!$C$2:$C$301,C6))</f>
        <v>250</v>
      </c>
      <c r="E6" s="20" t="n">
        <f aca="false">IF(A6="","",IF(D6&lt;500,25,IF(D6&lt;=1500,75,199)))</f>
        <v>25</v>
      </c>
      <c r="F6" s="15" t="n">
        <f aca="false">IF(B6="","",INT((B6-Settings!$B$2)/7)+1)</f>
        <v>4</v>
      </c>
      <c r="G6" s="16" t="b">
        <f aca="false">IF(F6="","",F6&gt;=Settings!$B$5)</f>
        <v>1</v>
      </c>
      <c r="H6" s="13"/>
      <c r="I6" s="13"/>
      <c r="J6" s="16" t="b">
        <f aca="false">IF(A6="","",IFERROR(INDEX(Requests!$E$2:$E$301,MATCH(A6,Requests!$A$2:$A$301,0)),FALSE()))</f>
        <v>0</v>
      </c>
      <c r="K6" s="15" t="n">
        <f aca="false">IF(A6="","",IF(AND(H6="Y",COUNTIFS($C$2:C6,C6,$H$2:H6,"Y")=1),1,0))</f>
        <v>0</v>
      </c>
      <c r="L6" s="8"/>
      <c r="M6" s="8"/>
    </row>
    <row r="7" customFormat="false" ht="15" hidden="false" customHeight="false" outlineLevel="0" collapsed="false">
      <c r="A7" s="13" t="s">
        <v>229</v>
      </c>
      <c r="B7" s="18" t="n">
        <v>46354.46875</v>
      </c>
      <c r="C7" s="13" t="s">
        <v>98</v>
      </c>
      <c r="D7" s="20" t="n">
        <f aca="false">IF(A7="","",SUMIFS(Quotes!$E$2:$E$301,Quotes!$B$2:$B$301,A7,Quotes!$C$2:$C$301,C7))</f>
        <v>150</v>
      </c>
      <c r="E7" s="20" t="n">
        <f aca="false">IF(A7="","",IF(D7&lt;500,25,IF(D7&lt;=1500,75,199)))</f>
        <v>25</v>
      </c>
      <c r="F7" s="15" t="n">
        <f aca="false">IF(B7="","",INT((B7-Settings!$B$2)/7)+1)</f>
        <v>4</v>
      </c>
      <c r="G7" s="16" t="b">
        <f aca="false">IF(F7="","",F7&gt;=Settings!$B$5)</f>
        <v>1</v>
      </c>
      <c r="H7" s="13" t="s">
        <v>76</v>
      </c>
      <c r="I7" s="13" t="s">
        <v>91</v>
      </c>
      <c r="J7" s="16" t="b">
        <f aca="false">IF(A7="","",IFERROR(INDEX(Requests!$E$2:$E$301,MATCH(A7,Requests!$A$2:$A$301,0)),FALSE()))</f>
        <v>1</v>
      </c>
      <c r="K7" s="15" t="n">
        <f aca="false">IF(A7="","",IF(AND(H7="Y",COUNTIFS($C$2:C7,C7,$H$2:H7,"Y")=1),1,0))</f>
        <v>1</v>
      </c>
      <c r="L7" s="8"/>
      <c r="M7" s="8"/>
    </row>
    <row r="8" customFormat="false" ht="15" hidden="false" customHeight="false" outlineLevel="0" collapsed="false">
      <c r="A8" s="13" t="s">
        <v>241</v>
      </c>
      <c r="B8" s="18" t="n">
        <v>46359.2083333333</v>
      </c>
      <c r="C8" s="13" t="s">
        <v>92</v>
      </c>
      <c r="D8" s="20" t="n">
        <f aca="false">IF(A8="","",SUMIFS(Quotes!$E$2:$E$301,Quotes!$B$2:$B$301,A8,Quotes!$C$2:$C$301,C8))</f>
        <v>560</v>
      </c>
      <c r="E8" s="20" t="n">
        <f aca="false">IF(A8="","",IF(D8&lt;500,25,IF(D8&lt;=1500,75,199)))</f>
        <v>75</v>
      </c>
      <c r="F8" s="15" t="n">
        <f aca="false">IF(B8="","",INT((B8-Settings!$B$2)/7)+1)</f>
        <v>5</v>
      </c>
      <c r="G8" s="16" t="b">
        <f aca="false">IF(F8="","",F8&gt;=Settings!$B$5)</f>
        <v>1</v>
      </c>
      <c r="H8" s="13" t="s">
        <v>76</v>
      </c>
      <c r="I8" s="13" t="s">
        <v>91</v>
      </c>
      <c r="J8" s="16" t="b">
        <f aca="false">IF(A8="","",IFERROR(INDEX(Requests!$E$2:$E$301,MATCH(A8,Requests!$A$2:$A$301,0)),FALSE()))</f>
        <v>1</v>
      </c>
      <c r="K8" s="15" t="n">
        <f aca="false">IF(A8="","",IF(AND(H8="Y",COUNTIFS($C$2:C8,C8,$H$2:H8,"Y")=1),1,0))</f>
        <v>1</v>
      </c>
      <c r="L8" s="8"/>
      <c r="M8" s="8"/>
    </row>
    <row r="9" customFormat="false" ht="15" hidden="false" customHeight="false" outlineLevel="0" collapsed="false">
      <c r="A9" s="13" t="s">
        <v>257</v>
      </c>
      <c r="B9" s="18" t="n">
        <v>46364.0416666667</v>
      </c>
      <c r="C9" s="13" t="s">
        <v>98</v>
      </c>
      <c r="D9" s="20" t="n">
        <f aca="false">IF(A9="","",SUMIFS(Quotes!$E$2:$E$301,Quotes!$B$2:$B$301,A9,Quotes!$C$2:$C$301,C9))</f>
        <v>150</v>
      </c>
      <c r="E9" s="20" t="n">
        <f aca="false">IF(A9="","",IF(D9&lt;500,25,IF(D9&lt;=1500,75,199)))</f>
        <v>25</v>
      </c>
      <c r="F9" s="15" t="n">
        <f aca="false">IF(B9="","",INT((B9-Settings!$B$2)/7)+1)</f>
        <v>6</v>
      </c>
      <c r="G9" s="16" t="b">
        <f aca="false">IF(F9="","",F9&gt;=Settings!$B$5)</f>
        <v>1</v>
      </c>
      <c r="H9" s="13" t="s">
        <v>76</v>
      </c>
      <c r="I9" s="13" t="s">
        <v>91</v>
      </c>
      <c r="J9" s="16" t="b">
        <f aca="false">IF(A9="","",IFERROR(INDEX(Requests!$E$2:$E$301,MATCH(A9,Requests!$A$2:$A$301,0)),FALSE()))</f>
        <v>1</v>
      </c>
      <c r="K9" s="15" t="n">
        <f aca="false">IF(A9="","",IF(AND(H9="Y",COUNTIFS($C$2:C9,C9,$H$2:H9,"Y")=1),1,0))</f>
        <v>0</v>
      </c>
      <c r="L9" s="8"/>
      <c r="M9" s="8"/>
    </row>
    <row r="10" customFormat="false" ht="15" hidden="false" customHeight="false" outlineLevel="0" collapsed="false">
      <c r="A10" s="13" t="s">
        <v>265</v>
      </c>
      <c r="B10" s="18" t="n">
        <v>46368.1979166667</v>
      </c>
      <c r="C10" s="13" t="s">
        <v>92</v>
      </c>
      <c r="D10" s="20" t="n">
        <f aca="false">IF(A10="","",SUMIFS(Quotes!$E$2:$E$301,Quotes!$B$2:$B$301,A10,Quotes!$C$2:$C$301,C10))</f>
        <v>560</v>
      </c>
      <c r="E10" s="20" t="n">
        <f aca="false">IF(A10="","",IF(D10&lt;500,25,IF(D10&lt;=1500,75,199)))</f>
        <v>75</v>
      </c>
      <c r="F10" s="15" t="n">
        <f aca="false">IF(B10="","",INT((B10-Settings!$B$2)/7)+1)</f>
        <v>6</v>
      </c>
      <c r="G10" s="16" t="b">
        <f aca="false">IF(F10="","",F10&gt;=Settings!$B$5)</f>
        <v>1</v>
      </c>
      <c r="H10" s="13" t="s">
        <v>76</v>
      </c>
      <c r="I10" s="13" t="s">
        <v>91</v>
      </c>
      <c r="J10" s="16" t="b">
        <f aca="false">IF(A10="","",IFERROR(INDEX(Requests!$E$2:$E$301,MATCH(A10,Requests!$A$2:$A$301,0)),FALSE()))</f>
        <v>1</v>
      </c>
      <c r="K10" s="15" t="n">
        <f aca="false">IF(A10="","",IF(AND(H10="Y",COUNTIFS($C$2:C10,C10,$H$2:H10,"Y")=1),1,0))</f>
        <v>0</v>
      </c>
      <c r="L10" s="8"/>
      <c r="M10" s="8"/>
    </row>
    <row r="11" customFormat="false" ht="15" hidden="false" customHeight="false" outlineLevel="0" collapsed="false">
      <c r="A11" s="13"/>
      <c r="B11" s="18"/>
      <c r="C11" s="13"/>
      <c r="D11" s="20" t="str">
        <f aca="false">IF(A11="","",SUMIFS(Quotes!$E$2:$E$301,Quotes!$B$2:$B$301,A11,Quotes!$C$2:$C$301,C11))</f>
        <v/>
      </c>
      <c r="E11" s="20" t="str">
        <f aca="false">IF(A11="","",IF(D11&lt;500,25,IF(D11&lt;=1500,75,199)))</f>
        <v/>
      </c>
      <c r="F11" s="15" t="str">
        <f aca="false">IF(B11="","",INT((B11-Settings!$B$2)/7)+1)</f>
        <v/>
      </c>
      <c r="G11" s="15" t="str">
        <f aca="false">IF(F11="","",F11&gt;=Settings!$B$5)</f>
        <v/>
      </c>
      <c r="H11" s="13"/>
      <c r="I11" s="13"/>
      <c r="J11" s="15" t="str">
        <f aca="false">IF(A11="","",IFERROR(INDEX(Requests!$E$2:$E$301,MATCH(A11,Requests!$A$2:$A$301,0)),FALSE()))</f>
        <v/>
      </c>
      <c r="K11" s="15" t="str">
        <f aca="false">IF(A11="","",IF(AND(H11="Y",COUNTIFS($C$2:C11,C11,$H$2:H11,"Y")=1),1,0))</f>
        <v/>
      </c>
      <c r="L11" s="8"/>
      <c r="M11" s="8"/>
    </row>
    <row r="12" customFormat="false" ht="15" hidden="false" customHeight="false" outlineLevel="0" collapsed="false">
      <c r="A12" s="13"/>
      <c r="B12" s="18"/>
      <c r="C12" s="13"/>
      <c r="D12" s="20" t="str">
        <f aca="false">IF(A12="","",SUMIFS(Quotes!$E$2:$E$301,Quotes!$B$2:$B$301,A12,Quotes!$C$2:$C$301,C12))</f>
        <v/>
      </c>
      <c r="E12" s="20" t="str">
        <f aca="false">IF(A12="","",IF(D12&lt;500,25,IF(D12&lt;=1500,75,199)))</f>
        <v/>
      </c>
      <c r="F12" s="15" t="str">
        <f aca="false">IF(B12="","",INT((B12-Settings!$B$2)/7)+1)</f>
        <v/>
      </c>
      <c r="G12" s="15" t="str">
        <f aca="false">IF(F12="","",F12&gt;=Settings!$B$5)</f>
        <v/>
      </c>
      <c r="H12" s="13"/>
      <c r="I12" s="13"/>
      <c r="J12" s="15" t="str">
        <f aca="false">IF(A12="","",IFERROR(INDEX(Requests!$E$2:$E$301,MATCH(A12,Requests!$A$2:$A$301,0)),FALSE()))</f>
        <v/>
      </c>
      <c r="K12" s="15" t="str">
        <f aca="false">IF(A12="","",IF(AND(H12="Y",COUNTIFS($C$2:C12,C12,$H$2:H12,"Y")=1),1,0))</f>
        <v/>
      </c>
      <c r="L12" s="8"/>
      <c r="M12" s="8"/>
    </row>
    <row r="13" customFormat="false" ht="15" hidden="false" customHeight="false" outlineLevel="0" collapsed="false">
      <c r="A13" s="13"/>
      <c r="B13" s="18"/>
      <c r="C13" s="13"/>
      <c r="D13" s="20" t="str">
        <f aca="false">IF(A13="","",SUMIFS(Quotes!$E$2:$E$301,Quotes!$B$2:$B$301,A13,Quotes!$C$2:$C$301,C13))</f>
        <v/>
      </c>
      <c r="E13" s="20" t="str">
        <f aca="false">IF(A13="","",IF(D13&lt;500,25,IF(D13&lt;=1500,75,199)))</f>
        <v/>
      </c>
      <c r="F13" s="15" t="str">
        <f aca="false">IF(B13="","",INT((B13-Settings!$B$2)/7)+1)</f>
        <v/>
      </c>
      <c r="G13" s="15" t="str">
        <f aca="false">IF(F13="","",F13&gt;=Settings!$B$5)</f>
        <v/>
      </c>
      <c r="H13" s="13"/>
      <c r="I13" s="13"/>
      <c r="J13" s="15" t="str">
        <f aca="false">IF(A13="","",IFERROR(INDEX(Requests!$E$2:$E$301,MATCH(A13,Requests!$A$2:$A$301,0)),FALSE()))</f>
        <v/>
      </c>
      <c r="K13" s="15" t="str">
        <f aca="false">IF(A13="","",IF(AND(H13="Y",COUNTIFS($C$2:C13,C13,$H$2:H13,"Y")=1),1,0))</f>
        <v/>
      </c>
      <c r="L13" s="8"/>
      <c r="M13" s="8"/>
    </row>
    <row r="14" customFormat="false" ht="15" hidden="false" customHeight="false" outlineLevel="0" collapsed="false">
      <c r="A14" s="13"/>
      <c r="B14" s="18"/>
      <c r="C14" s="13"/>
      <c r="D14" s="20" t="str">
        <f aca="false">IF(A14="","",SUMIFS(Quotes!$E$2:$E$301,Quotes!$B$2:$B$301,A14,Quotes!$C$2:$C$301,C14))</f>
        <v/>
      </c>
      <c r="E14" s="20" t="str">
        <f aca="false">IF(A14="","",IF(D14&lt;500,25,IF(D14&lt;=1500,75,199)))</f>
        <v/>
      </c>
      <c r="F14" s="15" t="str">
        <f aca="false">IF(B14="","",INT((B14-Settings!$B$2)/7)+1)</f>
        <v/>
      </c>
      <c r="G14" s="15" t="str">
        <f aca="false">IF(F14="","",F14&gt;=Settings!$B$5)</f>
        <v/>
      </c>
      <c r="H14" s="13"/>
      <c r="I14" s="13"/>
      <c r="J14" s="15" t="str">
        <f aca="false">IF(A14="","",IFERROR(INDEX(Requests!$E$2:$E$301,MATCH(A14,Requests!$A$2:$A$301,0)),FALSE()))</f>
        <v/>
      </c>
      <c r="K14" s="15" t="str">
        <f aca="false">IF(A14="","",IF(AND(H14="Y",COUNTIFS($C$2:C14,C14,$H$2:H14,"Y")=1),1,0))</f>
        <v/>
      </c>
      <c r="L14" s="8"/>
      <c r="M14" s="8"/>
    </row>
    <row r="15" customFormat="false" ht="15" hidden="false" customHeight="false" outlineLevel="0" collapsed="false">
      <c r="A15" s="13"/>
      <c r="B15" s="18"/>
      <c r="C15" s="13"/>
      <c r="D15" s="20" t="str">
        <f aca="false">IF(A15="","",SUMIFS(Quotes!$E$2:$E$301,Quotes!$B$2:$B$301,A15,Quotes!$C$2:$C$301,C15))</f>
        <v/>
      </c>
      <c r="E15" s="20" t="str">
        <f aca="false">IF(A15="","",IF(D15&lt;500,25,IF(D15&lt;=1500,75,199)))</f>
        <v/>
      </c>
      <c r="F15" s="15" t="str">
        <f aca="false">IF(B15="","",INT((B15-Settings!$B$2)/7)+1)</f>
        <v/>
      </c>
      <c r="G15" s="15" t="str">
        <f aca="false">IF(F15="","",F15&gt;=Settings!$B$5)</f>
        <v/>
      </c>
      <c r="H15" s="13"/>
      <c r="I15" s="13"/>
      <c r="J15" s="15" t="str">
        <f aca="false">IF(A15="","",IFERROR(INDEX(Requests!$E$2:$E$301,MATCH(A15,Requests!$A$2:$A$301,0)),FALSE()))</f>
        <v/>
      </c>
      <c r="K15" s="15" t="str">
        <f aca="false">IF(A15="","",IF(AND(H15="Y",COUNTIFS($C$2:C15,C15,$H$2:H15,"Y")=1),1,0))</f>
        <v/>
      </c>
      <c r="L15" s="8"/>
      <c r="M15" s="8"/>
    </row>
    <row r="16" customFormat="false" ht="15" hidden="false" customHeight="false" outlineLevel="0" collapsed="false">
      <c r="A16" s="13"/>
      <c r="B16" s="18"/>
      <c r="C16" s="13"/>
      <c r="D16" s="20" t="str">
        <f aca="false">IF(A16="","",SUMIFS(Quotes!$E$2:$E$301,Quotes!$B$2:$B$301,A16,Quotes!$C$2:$C$301,C16))</f>
        <v/>
      </c>
      <c r="E16" s="20" t="str">
        <f aca="false">IF(A16="","",IF(D16&lt;500,25,IF(D16&lt;=1500,75,199)))</f>
        <v/>
      </c>
      <c r="F16" s="15" t="str">
        <f aca="false">IF(B16="","",INT((B16-Settings!$B$2)/7)+1)</f>
        <v/>
      </c>
      <c r="G16" s="15" t="str">
        <f aca="false">IF(F16="","",F16&gt;=Settings!$B$5)</f>
        <v/>
      </c>
      <c r="H16" s="13"/>
      <c r="I16" s="13"/>
      <c r="J16" s="15" t="str">
        <f aca="false">IF(A16="","",IFERROR(INDEX(Requests!$E$2:$E$301,MATCH(A16,Requests!$A$2:$A$301,0)),FALSE()))</f>
        <v/>
      </c>
      <c r="K16" s="15" t="str">
        <f aca="false">IF(A16="","",IF(AND(H16="Y",COUNTIFS($C$2:C16,C16,$H$2:H16,"Y")=1),1,0))</f>
        <v/>
      </c>
      <c r="L16" s="8"/>
      <c r="M16" s="8"/>
    </row>
    <row r="17" customFormat="false" ht="15" hidden="false" customHeight="false" outlineLevel="0" collapsed="false">
      <c r="A17" s="13"/>
      <c r="B17" s="18"/>
      <c r="C17" s="13"/>
      <c r="D17" s="20" t="str">
        <f aca="false">IF(A17="","",SUMIFS(Quotes!$E$2:$E$301,Quotes!$B$2:$B$301,A17,Quotes!$C$2:$C$301,C17))</f>
        <v/>
      </c>
      <c r="E17" s="20" t="str">
        <f aca="false">IF(A17="","",IF(D17&lt;500,25,IF(D17&lt;=1500,75,199)))</f>
        <v/>
      </c>
      <c r="F17" s="15" t="str">
        <f aca="false">IF(B17="","",INT((B17-Settings!$B$2)/7)+1)</f>
        <v/>
      </c>
      <c r="G17" s="15" t="str">
        <f aca="false">IF(F17="","",F17&gt;=Settings!$B$5)</f>
        <v/>
      </c>
      <c r="H17" s="13"/>
      <c r="I17" s="13"/>
      <c r="J17" s="15" t="str">
        <f aca="false">IF(A17="","",IFERROR(INDEX(Requests!$E$2:$E$301,MATCH(A17,Requests!$A$2:$A$301,0)),FALSE()))</f>
        <v/>
      </c>
      <c r="K17" s="15" t="str">
        <f aca="false">IF(A17="","",IF(AND(H17="Y",COUNTIFS($C$2:C17,C17,$H$2:H17,"Y")=1),1,0))</f>
        <v/>
      </c>
      <c r="L17" s="8"/>
      <c r="M17" s="8"/>
    </row>
    <row r="18" customFormat="false" ht="15" hidden="false" customHeight="false" outlineLevel="0" collapsed="false">
      <c r="A18" s="13"/>
      <c r="B18" s="18"/>
      <c r="C18" s="13"/>
      <c r="D18" s="20" t="str">
        <f aca="false">IF(A18="","",SUMIFS(Quotes!$E$2:$E$301,Quotes!$B$2:$B$301,A18,Quotes!$C$2:$C$301,C18))</f>
        <v/>
      </c>
      <c r="E18" s="20" t="str">
        <f aca="false">IF(A18="","",IF(D18&lt;500,25,IF(D18&lt;=1500,75,199)))</f>
        <v/>
      </c>
      <c r="F18" s="15" t="str">
        <f aca="false">IF(B18="","",INT((B18-Settings!$B$2)/7)+1)</f>
        <v/>
      </c>
      <c r="G18" s="15" t="str">
        <f aca="false">IF(F18="","",F18&gt;=Settings!$B$5)</f>
        <v/>
      </c>
      <c r="H18" s="13"/>
      <c r="I18" s="13"/>
      <c r="J18" s="15" t="str">
        <f aca="false">IF(A18="","",IFERROR(INDEX(Requests!$E$2:$E$301,MATCH(A18,Requests!$A$2:$A$301,0)),FALSE()))</f>
        <v/>
      </c>
      <c r="K18" s="15" t="str">
        <f aca="false">IF(A18="","",IF(AND(H18="Y",COUNTIFS($C$2:C18,C18,$H$2:H18,"Y")=1),1,0))</f>
        <v/>
      </c>
      <c r="L18" s="8"/>
      <c r="M18" s="8"/>
    </row>
    <row r="19" customFormat="false" ht="15" hidden="false" customHeight="false" outlineLevel="0" collapsed="false">
      <c r="A19" s="13"/>
      <c r="B19" s="18"/>
      <c r="C19" s="13"/>
      <c r="D19" s="20" t="str">
        <f aca="false">IF(A19="","",SUMIFS(Quotes!$E$2:$E$301,Quotes!$B$2:$B$301,A19,Quotes!$C$2:$C$301,C19))</f>
        <v/>
      </c>
      <c r="E19" s="20" t="str">
        <f aca="false">IF(A19="","",IF(D19&lt;500,25,IF(D19&lt;=1500,75,199)))</f>
        <v/>
      </c>
      <c r="F19" s="15" t="str">
        <f aca="false">IF(B19="","",INT((B19-Settings!$B$2)/7)+1)</f>
        <v/>
      </c>
      <c r="G19" s="15" t="str">
        <f aca="false">IF(F19="","",F19&gt;=Settings!$B$5)</f>
        <v/>
      </c>
      <c r="H19" s="13"/>
      <c r="I19" s="13"/>
      <c r="J19" s="15" t="str">
        <f aca="false">IF(A19="","",IFERROR(INDEX(Requests!$E$2:$E$301,MATCH(A19,Requests!$A$2:$A$301,0)),FALSE()))</f>
        <v/>
      </c>
      <c r="K19" s="15" t="str">
        <f aca="false">IF(A19="","",IF(AND(H19="Y",COUNTIFS($C$2:C19,C19,$H$2:H19,"Y")=1),1,0))</f>
        <v/>
      </c>
      <c r="L19" s="8"/>
      <c r="M19" s="8"/>
    </row>
    <row r="20" customFormat="false" ht="15" hidden="false" customHeight="false" outlineLevel="0" collapsed="false">
      <c r="A20" s="13"/>
      <c r="B20" s="18"/>
      <c r="C20" s="13"/>
      <c r="D20" s="20" t="str">
        <f aca="false">IF(A20="","",SUMIFS(Quotes!$E$2:$E$301,Quotes!$B$2:$B$301,A20,Quotes!$C$2:$C$301,C20))</f>
        <v/>
      </c>
      <c r="E20" s="20" t="str">
        <f aca="false">IF(A20="","",IF(D20&lt;500,25,IF(D20&lt;=1500,75,199)))</f>
        <v/>
      </c>
      <c r="F20" s="15" t="str">
        <f aca="false">IF(B20="","",INT((B20-Settings!$B$2)/7)+1)</f>
        <v/>
      </c>
      <c r="G20" s="15" t="str">
        <f aca="false">IF(F20="","",F20&gt;=Settings!$B$5)</f>
        <v/>
      </c>
      <c r="H20" s="13"/>
      <c r="I20" s="13"/>
      <c r="J20" s="15" t="str">
        <f aca="false">IF(A20="","",IFERROR(INDEX(Requests!$E$2:$E$301,MATCH(A20,Requests!$A$2:$A$301,0)),FALSE()))</f>
        <v/>
      </c>
      <c r="K20" s="15" t="str">
        <f aca="false">IF(A20="","",IF(AND(H20="Y",COUNTIFS($C$2:C20,C20,$H$2:H20,"Y")=1),1,0))</f>
        <v/>
      </c>
      <c r="L20" s="8"/>
      <c r="M20" s="8"/>
    </row>
    <row r="21" customFormat="false" ht="15" hidden="false" customHeight="false" outlineLevel="0" collapsed="false">
      <c r="A21" s="13"/>
      <c r="B21" s="18"/>
      <c r="C21" s="13"/>
      <c r="D21" s="20" t="str">
        <f aca="false">IF(A21="","",SUMIFS(Quotes!$E$2:$E$301,Quotes!$B$2:$B$301,A21,Quotes!$C$2:$C$301,C21))</f>
        <v/>
      </c>
      <c r="E21" s="20" t="str">
        <f aca="false">IF(A21="","",IF(D21&lt;500,25,IF(D21&lt;=1500,75,199)))</f>
        <v/>
      </c>
      <c r="F21" s="15" t="str">
        <f aca="false">IF(B21="","",INT((B21-Settings!$B$2)/7)+1)</f>
        <v/>
      </c>
      <c r="G21" s="15" t="str">
        <f aca="false">IF(F21="","",F21&gt;=Settings!$B$5)</f>
        <v/>
      </c>
      <c r="H21" s="13"/>
      <c r="I21" s="13"/>
      <c r="J21" s="15" t="str">
        <f aca="false">IF(A21="","",IFERROR(INDEX(Requests!$E$2:$E$301,MATCH(A21,Requests!$A$2:$A$301,0)),FALSE()))</f>
        <v/>
      </c>
      <c r="K21" s="15" t="str">
        <f aca="false">IF(A21="","",IF(AND(H21="Y",COUNTIFS($C$2:C21,C21,$H$2:H21,"Y")=1),1,0))</f>
        <v/>
      </c>
      <c r="L21" s="8"/>
      <c r="M21" s="8"/>
    </row>
    <row r="22" customFormat="false" ht="15" hidden="false" customHeight="false" outlineLevel="0" collapsed="false">
      <c r="A22" s="13"/>
      <c r="B22" s="18"/>
      <c r="C22" s="13"/>
      <c r="D22" s="20" t="str">
        <f aca="false">IF(A22="","",SUMIFS(Quotes!$E$2:$E$301,Quotes!$B$2:$B$301,A22,Quotes!$C$2:$C$301,C22))</f>
        <v/>
      </c>
      <c r="E22" s="20" t="str">
        <f aca="false">IF(A22="","",IF(D22&lt;500,25,IF(D22&lt;=1500,75,199)))</f>
        <v/>
      </c>
      <c r="F22" s="15" t="str">
        <f aca="false">IF(B22="","",INT((B22-Settings!$B$2)/7)+1)</f>
        <v/>
      </c>
      <c r="G22" s="15" t="str">
        <f aca="false">IF(F22="","",F22&gt;=Settings!$B$5)</f>
        <v/>
      </c>
      <c r="H22" s="13"/>
      <c r="I22" s="13"/>
      <c r="J22" s="15" t="str">
        <f aca="false">IF(A22="","",IFERROR(INDEX(Requests!$E$2:$E$301,MATCH(A22,Requests!$A$2:$A$301,0)),FALSE()))</f>
        <v/>
      </c>
      <c r="K22" s="15" t="str">
        <f aca="false">IF(A22="","",IF(AND(H22="Y",COUNTIFS($C$2:C22,C22,$H$2:H22,"Y")=1),1,0))</f>
        <v/>
      </c>
      <c r="L22" s="8"/>
      <c r="M22" s="8"/>
    </row>
    <row r="23" customFormat="false" ht="15" hidden="false" customHeight="false" outlineLevel="0" collapsed="false">
      <c r="A23" s="13"/>
      <c r="B23" s="18"/>
      <c r="C23" s="13"/>
      <c r="D23" s="20" t="str">
        <f aca="false">IF(A23="","",SUMIFS(Quotes!$E$2:$E$301,Quotes!$B$2:$B$301,A23,Quotes!$C$2:$C$301,C23))</f>
        <v/>
      </c>
      <c r="E23" s="20" t="str">
        <f aca="false">IF(A23="","",IF(D23&lt;500,25,IF(D23&lt;=1500,75,199)))</f>
        <v/>
      </c>
      <c r="F23" s="15" t="str">
        <f aca="false">IF(B23="","",INT((B23-Settings!$B$2)/7)+1)</f>
        <v/>
      </c>
      <c r="G23" s="15" t="str">
        <f aca="false">IF(F23="","",F23&gt;=Settings!$B$5)</f>
        <v/>
      </c>
      <c r="H23" s="13"/>
      <c r="I23" s="13"/>
      <c r="J23" s="15" t="str">
        <f aca="false">IF(A23="","",IFERROR(INDEX(Requests!$E$2:$E$301,MATCH(A23,Requests!$A$2:$A$301,0)),FALSE()))</f>
        <v/>
      </c>
      <c r="K23" s="15" t="str">
        <f aca="false">IF(A23="","",IF(AND(H23="Y",COUNTIFS($C$2:C23,C23,$H$2:H23,"Y")=1),1,0))</f>
        <v/>
      </c>
      <c r="L23" s="8"/>
      <c r="M23" s="8"/>
    </row>
    <row r="24" customFormat="false" ht="15" hidden="false" customHeight="false" outlineLevel="0" collapsed="false">
      <c r="A24" s="13"/>
      <c r="B24" s="18"/>
      <c r="C24" s="13"/>
      <c r="D24" s="20" t="str">
        <f aca="false">IF(A24="","",SUMIFS(Quotes!$E$2:$E$301,Quotes!$B$2:$B$301,A24,Quotes!$C$2:$C$301,C24))</f>
        <v/>
      </c>
      <c r="E24" s="20" t="str">
        <f aca="false">IF(A24="","",IF(D24&lt;500,25,IF(D24&lt;=1500,75,199)))</f>
        <v/>
      </c>
      <c r="F24" s="15" t="str">
        <f aca="false">IF(B24="","",INT((B24-Settings!$B$2)/7)+1)</f>
        <v/>
      </c>
      <c r="G24" s="15" t="str">
        <f aca="false">IF(F24="","",F24&gt;=Settings!$B$5)</f>
        <v/>
      </c>
      <c r="H24" s="13"/>
      <c r="I24" s="13"/>
      <c r="J24" s="15" t="str">
        <f aca="false">IF(A24="","",IFERROR(INDEX(Requests!$E$2:$E$301,MATCH(A24,Requests!$A$2:$A$301,0)),FALSE()))</f>
        <v/>
      </c>
      <c r="K24" s="15" t="str">
        <f aca="false">IF(A24="","",IF(AND(H24="Y",COUNTIFS($C$2:C24,C24,$H$2:H24,"Y")=1),1,0))</f>
        <v/>
      </c>
      <c r="L24" s="8"/>
      <c r="M24" s="8"/>
    </row>
    <row r="25" customFormat="false" ht="15" hidden="false" customHeight="false" outlineLevel="0" collapsed="false">
      <c r="A25" s="13"/>
      <c r="B25" s="18"/>
      <c r="C25" s="13"/>
      <c r="D25" s="20" t="str">
        <f aca="false">IF(A25="","",SUMIFS(Quotes!$E$2:$E$301,Quotes!$B$2:$B$301,A25,Quotes!$C$2:$C$301,C25))</f>
        <v/>
      </c>
      <c r="E25" s="20" t="str">
        <f aca="false">IF(A25="","",IF(D25&lt;500,25,IF(D25&lt;=1500,75,199)))</f>
        <v/>
      </c>
      <c r="F25" s="15" t="str">
        <f aca="false">IF(B25="","",INT((B25-Settings!$B$2)/7)+1)</f>
        <v/>
      </c>
      <c r="G25" s="15" t="str">
        <f aca="false">IF(F25="","",F25&gt;=Settings!$B$5)</f>
        <v/>
      </c>
      <c r="H25" s="13"/>
      <c r="I25" s="13"/>
      <c r="J25" s="15" t="str">
        <f aca="false">IF(A25="","",IFERROR(INDEX(Requests!$E$2:$E$301,MATCH(A25,Requests!$A$2:$A$301,0)),FALSE()))</f>
        <v/>
      </c>
      <c r="K25" s="15" t="str">
        <f aca="false">IF(A25="","",IF(AND(H25="Y",COUNTIFS($C$2:C25,C25,$H$2:H25,"Y")=1),1,0))</f>
        <v/>
      </c>
      <c r="L25" s="8"/>
      <c r="M25" s="8"/>
    </row>
    <row r="26" customFormat="false" ht="15" hidden="false" customHeight="false" outlineLevel="0" collapsed="false">
      <c r="A26" s="13"/>
      <c r="B26" s="18"/>
      <c r="C26" s="13"/>
      <c r="D26" s="20" t="str">
        <f aca="false">IF(A26="","",SUMIFS(Quotes!$E$2:$E$301,Quotes!$B$2:$B$301,A26,Quotes!$C$2:$C$301,C26))</f>
        <v/>
      </c>
      <c r="E26" s="20" t="str">
        <f aca="false">IF(A26="","",IF(D26&lt;500,25,IF(D26&lt;=1500,75,199)))</f>
        <v/>
      </c>
      <c r="F26" s="15" t="str">
        <f aca="false">IF(B26="","",INT((B26-Settings!$B$2)/7)+1)</f>
        <v/>
      </c>
      <c r="G26" s="15" t="str">
        <f aca="false">IF(F26="","",F26&gt;=Settings!$B$5)</f>
        <v/>
      </c>
      <c r="H26" s="13"/>
      <c r="I26" s="13"/>
      <c r="J26" s="15" t="str">
        <f aca="false">IF(A26="","",IFERROR(INDEX(Requests!$E$2:$E$301,MATCH(A26,Requests!$A$2:$A$301,0)),FALSE()))</f>
        <v/>
      </c>
      <c r="K26" s="15" t="str">
        <f aca="false">IF(A26="","",IF(AND(H26="Y",COUNTIFS($C$2:C26,C26,$H$2:H26,"Y")=1),1,0))</f>
        <v/>
      </c>
      <c r="L26" s="8"/>
      <c r="M26" s="8"/>
    </row>
    <row r="27" customFormat="false" ht="15" hidden="false" customHeight="false" outlineLevel="0" collapsed="false">
      <c r="A27" s="13"/>
      <c r="B27" s="18"/>
      <c r="C27" s="13"/>
      <c r="D27" s="20" t="str">
        <f aca="false">IF(A27="","",SUMIFS(Quotes!$E$2:$E$301,Quotes!$B$2:$B$301,A27,Quotes!$C$2:$C$301,C27))</f>
        <v/>
      </c>
      <c r="E27" s="20" t="str">
        <f aca="false">IF(A27="","",IF(D27&lt;500,25,IF(D27&lt;=1500,75,199)))</f>
        <v/>
      </c>
      <c r="F27" s="15" t="str">
        <f aca="false">IF(B27="","",INT((B27-Settings!$B$2)/7)+1)</f>
        <v/>
      </c>
      <c r="G27" s="15" t="str">
        <f aca="false">IF(F27="","",F27&gt;=Settings!$B$5)</f>
        <v/>
      </c>
      <c r="H27" s="13"/>
      <c r="I27" s="13"/>
      <c r="J27" s="15" t="str">
        <f aca="false">IF(A27="","",IFERROR(INDEX(Requests!$E$2:$E$301,MATCH(A27,Requests!$A$2:$A$301,0)),FALSE()))</f>
        <v/>
      </c>
      <c r="K27" s="15" t="str">
        <f aca="false">IF(A27="","",IF(AND(H27="Y",COUNTIFS($C$2:C27,C27,$H$2:H27,"Y")=1),1,0))</f>
        <v/>
      </c>
      <c r="L27" s="8"/>
      <c r="M27" s="8"/>
    </row>
    <row r="28" customFormat="false" ht="15" hidden="false" customHeight="false" outlineLevel="0" collapsed="false">
      <c r="A28" s="13"/>
      <c r="B28" s="18"/>
      <c r="C28" s="13"/>
      <c r="D28" s="20" t="str">
        <f aca="false">IF(A28="","",SUMIFS(Quotes!$E$2:$E$301,Quotes!$B$2:$B$301,A28,Quotes!$C$2:$C$301,C28))</f>
        <v/>
      </c>
      <c r="E28" s="20" t="str">
        <f aca="false">IF(A28="","",IF(D28&lt;500,25,IF(D28&lt;=1500,75,199)))</f>
        <v/>
      </c>
      <c r="F28" s="15" t="str">
        <f aca="false">IF(B28="","",INT((B28-Settings!$B$2)/7)+1)</f>
        <v/>
      </c>
      <c r="G28" s="15" t="str">
        <f aca="false">IF(F28="","",F28&gt;=Settings!$B$5)</f>
        <v/>
      </c>
      <c r="H28" s="13"/>
      <c r="I28" s="13"/>
      <c r="J28" s="15" t="str">
        <f aca="false">IF(A28="","",IFERROR(INDEX(Requests!$E$2:$E$301,MATCH(A28,Requests!$A$2:$A$301,0)),FALSE()))</f>
        <v/>
      </c>
      <c r="K28" s="15" t="str">
        <f aca="false">IF(A28="","",IF(AND(H28="Y",COUNTIFS($C$2:C28,C28,$H$2:H28,"Y")=1),1,0))</f>
        <v/>
      </c>
      <c r="L28" s="8"/>
      <c r="M28" s="8"/>
    </row>
    <row r="29" customFormat="false" ht="15" hidden="false" customHeight="false" outlineLevel="0" collapsed="false">
      <c r="A29" s="13"/>
      <c r="B29" s="18"/>
      <c r="C29" s="13"/>
      <c r="D29" s="20" t="str">
        <f aca="false">IF(A29="","",SUMIFS(Quotes!$E$2:$E$301,Quotes!$B$2:$B$301,A29,Quotes!$C$2:$C$301,C29))</f>
        <v/>
      </c>
      <c r="E29" s="20" t="str">
        <f aca="false">IF(A29="","",IF(D29&lt;500,25,IF(D29&lt;=1500,75,199)))</f>
        <v/>
      </c>
      <c r="F29" s="15" t="str">
        <f aca="false">IF(B29="","",INT((B29-Settings!$B$2)/7)+1)</f>
        <v/>
      </c>
      <c r="G29" s="15" t="str">
        <f aca="false">IF(F29="","",F29&gt;=Settings!$B$5)</f>
        <v/>
      </c>
      <c r="H29" s="13"/>
      <c r="I29" s="13"/>
      <c r="J29" s="15" t="str">
        <f aca="false">IF(A29="","",IFERROR(INDEX(Requests!$E$2:$E$301,MATCH(A29,Requests!$A$2:$A$301,0)),FALSE()))</f>
        <v/>
      </c>
      <c r="K29" s="15" t="str">
        <f aca="false">IF(A29="","",IF(AND(H29="Y",COUNTIFS($C$2:C29,C29,$H$2:H29,"Y")=1),1,0))</f>
        <v/>
      </c>
      <c r="L29" s="8"/>
      <c r="M29" s="8"/>
    </row>
    <row r="30" customFormat="false" ht="15" hidden="false" customHeight="false" outlineLevel="0" collapsed="false">
      <c r="A30" s="13"/>
      <c r="B30" s="18"/>
      <c r="C30" s="13"/>
      <c r="D30" s="20" t="str">
        <f aca="false">IF(A30="","",SUMIFS(Quotes!$E$2:$E$301,Quotes!$B$2:$B$301,A30,Quotes!$C$2:$C$301,C30))</f>
        <v/>
      </c>
      <c r="E30" s="20" t="str">
        <f aca="false">IF(A30="","",IF(D30&lt;500,25,IF(D30&lt;=1500,75,199)))</f>
        <v/>
      </c>
      <c r="F30" s="15" t="str">
        <f aca="false">IF(B30="","",INT((B30-Settings!$B$2)/7)+1)</f>
        <v/>
      </c>
      <c r="G30" s="15" t="str">
        <f aca="false">IF(F30="","",F30&gt;=Settings!$B$5)</f>
        <v/>
      </c>
      <c r="H30" s="13"/>
      <c r="I30" s="13"/>
      <c r="J30" s="15" t="str">
        <f aca="false">IF(A30="","",IFERROR(INDEX(Requests!$E$2:$E$301,MATCH(A30,Requests!$A$2:$A$301,0)),FALSE()))</f>
        <v/>
      </c>
      <c r="K30" s="15" t="str">
        <f aca="false">IF(A30="","",IF(AND(H30="Y",COUNTIFS($C$2:C30,C30,$H$2:H30,"Y")=1),1,0))</f>
        <v/>
      </c>
      <c r="L30" s="8"/>
      <c r="M30" s="8"/>
    </row>
    <row r="31" customFormat="false" ht="15" hidden="false" customHeight="false" outlineLevel="0" collapsed="false">
      <c r="A31" s="13"/>
      <c r="B31" s="18"/>
      <c r="C31" s="13"/>
      <c r="D31" s="20" t="str">
        <f aca="false">IF(A31="","",SUMIFS(Quotes!$E$2:$E$301,Quotes!$B$2:$B$301,A31,Quotes!$C$2:$C$301,C31))</f>
        <v/>
      </c>
      <c r="E31" s="20" t="str">
        <f aca="false">IF(A31="","",IF(D31&lt;500,25,IF(D31&lt;=1500,75,199)))</f>
        <v/>
      </c>
      <c r="F31" s="15" t="str">
        <f aca="false">IF(B31="","",INT((B31-Settings!$B$2)/7)+1)</f>
        <v/>
      </c>
      <c r="G31" s="15" t="str">
        <f aca="false">IF(F31="","",F31&gt;=Settings!$B$5)</f>
        <v/>
      </c>
      <c r="H31" s="13"/>
      <c r="I31" s="13"/>
      <c r="J31" s="15" t="str">
        <f aca="false">IF(A31="","",IFERROR(INDEX(Requests!$E$2:$E$301,MATCH(A31,Requests!$A$2:$A$301,0)),FALSE()))</f>
        <v/>
      </c>
      <c r="K31" s="15" t="str">
        <f aca="false">IF(A31="","",IF(AND(H31="Y",COUNTIFS($C$2:C31,C31,$H$2:H31,"Y")=1),1,0))</f>
        <v/>
      </c>
      <c r="L31" s="8"/>
      <c r="M31" s="8"/>
    </row>
    <row r="32" customFormat="false" ht="15" hidden="false" customHeight="false" outlineLevel="0" collapsed="false">
      <c r="A32" s="13"/>
      <c r="B32" s="18"/>
      <c r="C32" s="13"/>
      <c r="D32" s="20" t="str">
        <f aca="false">IF(A32="","",SUMIFS(Quotes!$E$2:$E$301,Quotes!$B$2:$B$301,A32,Quotes!$C$2:$C$301,C32))</f>
        <v/>
      </c>
      <c r="E32" s="20" t="str">
        <f aca="false">IF(A32="","",IF(D32&lt;500,25,IF(D32&lt;=1500,75,199)))</f>
        <v/>
      </c>
      <c r="F32" s="15" t="str">
        <f aca="false">IF(B32="","",INT((B32-Settings!$B$2)/7)+1)</f>
        <v/>
      </c>
      <c r="G32" s="15" t="str">
        <f aca="false">IF(F32="","",F32&gt;=Settings!$B$5)</f>
        <v/>
      </c>
      <c r="H32" s="13"/>
      <c r="I32" s="13"/>
      <c r="J32" s="15" t="str">
        <f aca="false">IF(A32="","",IFERROR(INDEX(Requests!$E$2:$E$301,MATCH(A32,Requests!$A$2:$A$301,0)),FALSE()))</f>
        <v/>
      </c>
      <c r="K32" s="15" t="str">
        <f aca="false">IF(A32="","",IF(AND(H32="Y",COUNTIFS($C$2:C32,C32,$H$2:H32,"Y")=1),1,0))</f>
        <v/>
      </c>
      <c r="L32" s="8"/>
      <c r="M32" s="8"/>
    </row>
    <row r="33" customFormat="false" ht="15" hidden="false" customHeight="false" outlineLevel="0" collapsed="false">
      <c r="A33" s="13"/>
      <c r="B33" s="18"/>
      <c r="C33" s="13"/>
      <c r="D33" s="20" t="str">
        <f aca="false">IF(A33="","",SUMIFS(Quotes!$E$2:$E$301,Quotes!$B$2:$B$301,A33,Quotes!$C$2:$C$301,C33))</f>
        <v/>
      </c>
      <c r="E33" s="20" t="str">
        <f aca="false">IF(A33="","",IF(D33&lt;500,25,IF(D33&lt;=1500,75,199)))</f>
        <v/>
      </c>
      <c r="F33" s="15" t="str">
        <f aca="false">IF(B33="","",INT((B33-Settings!$B$2)/7)+1)</f>
        <v/>
      </c>
      <c r="G33" s="15" t="str">
        <f aca="false">IF(F33="","",F33&gt;=Settings!$B$5)</f>
        <v/>
      </c>
      <c r="H33" s="13"/>
      <c r="I33" s="13"/>
      <c r="J33" s="15" t="str">
        <f aca="false">IF(A33="","",IFERROR(INDEX(Requests!$E$2:$E$301,MATCH(A33,Requests!$A$2:$A$301,0)),FALSE()))</f>
        <v/>
      </c>
      <c r="K33" s="15" t="str">
        <f aca="false">IF(A33="","",IF(AND(H33="Y",COUNTIFS($C$2:C33,C33,$H$2:H33,"Y")=1),1,0))</f>
        <v/>
      </c>
      <c r="L33" s="8"/>
      <c r="M33" s="8"/>
    </row>
    <row r="34" customFormat="false" ht="15" hidden="false" customHeight="false" outlineLevel="0" collapsed="false">
      <c r="A34" s="13"/>
      <c r="B34" s="18"/>
      <c r="C34" s="13"/>
      <c r="D34" s="20" t="str">
        <f aca="false">IF(A34="","",SUMIFS(Quotes!$E$2:$E$301,Quotes!$B$2:$B$301,A34,Quotes!$C$2:$C$301,C34))</f>
        <v/>
      </c>
      <c r="E34" s="20" t="str">
        <f aca="false">IF(A34="","",IF(D34&lt;500,25,IF(D34&lt;=1500,75,199)))</f>
        <v/>
      </c>
      <c r="F34" s="15" t="str">
        <f aca="false">IF(B34="","",INT((B34-Settings!$B$2)/7)+1)</f>
        <v/>
      </c>
      <c r="G34" s="15" t="str">
        <f aca="false">IF(F34="","",F34&gt;=Settings!$B$5)</f>
        <v/>
      </c>
      <c r="H34" s="13"/>
      <c r="I34" s="13"/>
      <c r="J34" s="15" t="str">
        <f aca="false">IF(A34="","",IFERROR(INDEX(Requests!$E$2:$E$301,MATCH(A34,Requests!$A$2:$A$301,0)),FALSE()))</f>
        <v/>
      </c>
      <c r="K34" s="15" t="str">
        <f aca="false">IF(A34="","",IF(AND(H34="Y",COUNTIFS($C$2:C34,C34,$H$2:H34,"Y")=1),1,0))</f>
        <v/>
      </c>
      <c r="L34" s="8"/>
      <c r="M34" s="8"/>
    </row>
    <row r="35" customFormat="false" ht="15" hidden="false" customHeight="false" outlineLevel="0" collapsed="false">
      <c r="A35" s="13"/>
      <c r="B35" s="18"/>
      <c r="C35" s="13"/>
      <c r="D35" s="20" t="str">
        <f aca="false">IF(A35="","",SUMIFS(Quotes!$E$2:$E$301,Quotes!$B$2:$B$301,A35,Quotes!$C$2:$C$301,C35))</f>
        <v/>
      </c>
      <c r="E35" s="20" t="str">
        <f aca="false">IF(A35="","",IF(D35&lt;500,25,IF(D35&lt;=1500,75,199)))</f>
        <v/>
      </c>
      <c r="F35" s="15" t="str">
        <f aca="false">IF(B35="","",INT((B35-Settings!$B$2)/7)+1)</f>
        <v/>
      </c>
      <c r="G35" s="15" t="str">
        <f aca="false">IF(F35="","",F35&gt;=Settings!$B$5)</f>
        <v/>
      </c>
      <c r="H35" s="13"/>
      <c r="I35" s="13"/>
      <c r="J35" s="15" t="str">
        <f aca="false">IF(A35="","",IFERROR(INDEX(Requests!$E$2:$E$301,MATCH(A35,Requests!$A$2:$A$301,0)),FALSE()))</f>
        <v/>
      </c>
      <c r="K35" s="15" t="str">
        <f aca="false">IF(A35="","",IF(AND(H35="Y",COUNTIFS($C$2:C35,C35,$H$2:H35,"Y")=1),1,0))</f>
        <v/>
      </c>
      <c r="L35" s="8"/>
      <c r="M35" s="8"/>
    </row>
    <row r="36" customFormat="false" ht="15" hidden="false" customHeight="false" outlineLevel="0" collapsed="false">
      <c r="A36" s="13"/>
      <c r="B36" s="18"/>
      <c r="C36" s="13"/>
      <c r="D36" s="20" t="str">
        <f aca="false">IF(A36="","",SUMIFS(Quotes!$E$2:$E$301,Quotes!$B$2:$B$301,A36,Quotes!$C$2:$C$301,C36))</f>
        <v/>
      </c>
      <c r="E36" s="20" t="str">
        <f aca="false">IF(A36="","",IF(D36&lt;500,25,IF(D36&lt;=1500,75,199)))</f>
        <v/>
      </c>
      <c r="F36" s="15" t="str">
        <f aca="false">IF(B36="","",INT((B36-Settings!$B$2)/7)+1)</f>
        <v/>
      </c>
      <c r="G36" s="15" t="str">
        <f aca="false">IF(F36="","",F36&gt;=Settings!$B$5)</f>
        <v/>
      </c>
      <c r="H36" s="13"/>
      <c r="I36" s="13"/>
      <c r="J36" s="15" t="str">
        <f aca="false">IF(A36="","",IFERROR(INDEX(Requests!$E$2:$E$301,MATCH(A36,Requests!$A$2:$A$301,0)),FALSE()))</f>
        <v/>
      </c>
      <c r="K36" s="15" t="str">
        <f aca="false">IF(A36="","",IF(AND(H36="Y",COUNTIFS($C$2:C36,C36,$H$2:H36,"Y")=1),1,0))</f>
        <v/>
      </c>
      <c r="L36" s="8"/>
      <c r="M36" s="8"/>
    </row>
    <row r="37" customFormat="false" ht="15" hidden="false" customHeight="false" outlineLevel="0" collapsed="false">
      <c r="A37" s="13"/>
      <c r="B37" s="18"/>
      <c r="C37" s="13"/>
      <c r="D37" s="20" t="str">
        <f aca="false">IF(A37="","",SUMIFS(Quotes!$E$2:$E$301,Quotes!$B$2:$B$301,A37,Quotes!$C$2:$C$301,C37))</f>
        <v/>
      </c>
      <c r="E37" s="20" t="str">
        <f aca="false">IF(A37="","",IF(D37&lt;500,25,IF(D37&lt;=1500,75,199)))</f>
        <v/>
      </c>
      <c r="F37" s="15" t="str">
        <f aca="false">IF(B37="","",INT((B37-Settings!$B$2)/7)+1)</f>
        <v/>
      </c>
      <c r="G37" s="15" t="str">
        <f aca="false">IF(F37="","",F37&gt;=Settings!$B$5)</f>
        <v/>
      </c>
      <c r="H37" s="13"/>
      <c r="I37" s="13"/>
      <c r="J37" s="15" t="str">
        <f aca="false">IF(A37="","",IFERROR(INDEX(Requests!$E$2:$E$301,MATCH(A37,Requests!$A$2:$A$301,0)),FALSE()))</f>
        <v/>
      </c>
      <c r="K37" s="15" t="str">
        <f aca="false">IF(A37="","",IF(AND(H37="Y",COUNTIFS($C$2:C37,C37,$H$2:H37,"Y")=1),1,0))</f>
        <v/>
      </c>
      <c r="L37" s="8"/>
      <c r="M37" s="8"/>
    </row>
    <row r="38" customFormat="false" ht="15" hidden="false" customHeight="false" outlineLevel="0" collapsed="false">
      <c r="A38" s="13"/>
      <c r="B38" s="18"/>
      <c r="C38" s="13"/>
      <c r="D38" s="20" t="str">
        <f aca="false">IF(A38="","",SUMIFS(Quotes!$E$2:$E$301,Quotes!$B$2:$B$301,A38,Quotes!$C$2:$C$301,C38))</f>
        <v/>
      </c>
      <c r="E38" s="20" t="str">
        <f aca="false">IF(A38="","",IF(D38&lt;500,25,IF(D38&lt;=1500,75,199)))</f>
        <v/>
      </c>
      <c r="F38" s="15" t="str">
        <f aca="false">IF(B38="","",INT((B38-Settings!$B$2)/7)+1)</f>
        <v/>
      </c>
      <c r="G38" s="15" t="str">
        <f aca="false">IF(F38="","",F38&gt;=Settings!$B$5)</f>
        <v/>
      </c>
      <c r="H38" s="13"/>
      <c r="I38" s="13"/>
      <c r="J38" s="15" t="str">
        <f aca="false">IF(A38="","",IFERROR(INDEX(Requests!$E$2:$E$301,MATCH(A38,Requests!$A$2:$A$301,0)),FALSE()))</f>
        <v/>
      </c>
      <c r="K38" s="15" t="str">
        <f aca="false">IF(A38="","",IF(AND(H38="Y",COUNTIFS($C$2:C38,C38,$H$2:H38,"Y")=1),1,0))</f>
        <v/>
      </c>
      <c r="L38" s="8"/>
      <c r="M38" s="8"/>
    </row>
    <row r="39" customFormat="false" ht="15" hidden="false" customHeight="false" outlineLevel="0" collapsed="false">
      <c r="A39" s="13"/>
      <c r="B39" s="18"/>
      <c r="C39" s="13"/>
      <c r="D39" s="20" t="str">
        <f aca="false">IF(A39="","",SUMIFS(Quotes!$E$2:$E$301,Quotes!$B$2:$B$301,A39,Quotes!$C$2:$C$301,C39))</f>
        <v/>
      </c>
      <c r="E39" s="20" t="str">
        <f aca="false">IF(A39="","",IF(D39&lt;500,25,IF(D39&lt;=1500,75,199)))</f>
        <v/>
      </c>
      <c r="F39" s="15" t="str">
        <f aca="false">IF(B39="","",INT((B39-Settings!$B$2)/7)+1)</f>
        <v/>
      </c>
      <c r="G39" s="15" t="str">
        <f aca="false">IF(F39="","",F39&gt;=Settings!$B$5)</f>
        <v/>
      </c>
      <c r="H39" s="13"/>
      <c r="I39" s="13"/>
      <c r="J39" s="15" t="str">
        <f aca="false">IF(A39="","",IFERROR(INDEX(Requests!$E$2:$E$301,MATCH(A39,Requests!$A$2:$A$301,0)),FALSE()))</f>
        <v/>
      </c>
      <c r="K39" s="15" t="str">
        <f aca="false">IF(A39="","",IF(AND(H39="Y",COUNTIFS($C$2:C39,C39,$H$2:H39,"Y")=1),1,0))</f>
        <v/>
      </c>
      <c r="L39" s="8"/>
      <c r="M39" s="8"/>
    </row>
    <row r="40" customFormat="false" ht="15" hidden="false" customHeight="false" outlineLevel="0" collapsed="false">
      <c r="A40" s="13"/>
      <c r="B40" s="18"/>
      <c r="C40" s="13"/>
      <c r="D40" s="20" t="str">
        <f aca="false">IF(A40="","",SUMIFS(Quotes!$E$2:$E$301,Quotes!$B$2:$B$301,A40,Quotes!$C$2:$C$301,C40))</f>
        <v/>
      </c>
      <c r="E40" s="20" t="str">
        <f aca="false">IF(A40="","",IF(D40&lt;500,25,IF(D40&lt;=1500,75,199)))</f>
        <v/>
      </c>
      <c r="F40" s="15" t="str">
        <f aca="false">IF(B40="","",INT((B40-Settings!$B$2)/7)+1)</f>
        <v/>
      </c>
      <c r="G40" s="15" t="str">
        <f aca="false">IF(F40="","",F40&gt;=Settings!$B$5)</f>
        <v/>
      </c>
      <c r="H40" s="13"/>
      <c r="I40" s="13"/>
      <c r="J40" s="15" t="str">
        <f aca="false">IF(A40="","",IFERROR(INDEX(Requests!$E$2:$E$301,MATCH(A40,Requests!$A$2:$A$301,0)),FALSE()))</f>
        <v/>
      </c>
      <c r="K40" s="15" t="str">
        <f aca="false">IF(A40="","",IF(AND(H40="Y",COUNTIFS($C$2:C40,C40,$H$2:H40,"Y")=1),1,0))</f>
        <v/>
      </c>
      <c r="L40" s="8"/>
      <c r="M40" s="8"/>
    </row>
    <row r="41" customFormat="false" ht="15" hidden="false" customHeight="false" outlineLevel="0" collapsed="false">
      <c r="A41" s="13"/>
      <c r="B41" s="18"/>
      <c r="C41" s="13"/>
      <c r="D41" s="20" t="str">
        <f aca="false">IF(A41="","",SUMIFS(Quotes!$E$2:$E$301,Quotes!$B$2:$B$301,A41,Quotes!$C$2:$C$301,C41))</f>
        <v/>
      </c>
      <c r="E41" s="20" t="str">
        <f aca="false">IF(A41="","",IF(D41&lt;500,25,IF(D41&lt;=1500,75,199)))</f>
        <v/>
      </c>
      <c r="F41" s="15" t="str">
        <f aca="false">IF(B41="","",INT((B41-Settings!$B$2)/7)+1)</f>
        <v/>
      </c>
      <c r="G41" s="15" t="str">
        <f aca="false">IF(F41="","",F41&gt;=Settings!$B$5)</f>
        <v/>
      </c>
      <c r="H41" s="13"/>
      <c r="I41" s="13"/>
      <c r="J41" s="15" t="str">
        <f aca="false">IF(A41="","",IFERROR(INDEX(Requests!$E$2:$E$301,MATCH(A41,Requests!$A$2:$A$301,0)),FALSE()))</f>
        <v/>
      </c>
      <c r="K41" s="15" t="str">
        <f aca="false">IF(A41="","",IF(AND(H41="Y",COUNTIFS($C$2:C41,C41,$H$2:H41,"Y")=1),1,0))</f>
        <v/>
      </c>
      <c r="L41" s="8"/>
      <c r="M41" s="8"/>
    </row>
    <row r="42" customFormat="false" ht="15" hidden="false" customHeight="false" outlineLevel="0" collapsed="false">
      <c r="A42" s="13"/>
      <c r="B42" s="18"/>
      <c r="C42" s="13"/>
      <c r="D42" s="20" t="str">
        <f aca="false">IF(A42="","",SUMIFS(Quotes!$E$2:$E$301,Quotes!$B$2:$B$301,A42,Quotes!$C$2:$C$301,C42))</f>
        <v/>
      </c>
      <c r="E42" s="20" t="str">
        <f aca="false">IF(A42="","",IF(D42&lt;500,25,IF(D42&lt;=1500,75,199)))</f>
        <v/>
      </c>
      <c r="F42" s="15" t="str">
        <f aca="false">IF(B42="","",INT((B42-Settings!$B$2)/7)+1)</f>
        <v/>
      </c>
      <c r="G42" s="15" t="str">
        <f aca="false">IF(F42="","",F42&gt;=Settings!$B$5)</f>
        <v/>
      </c>
      <c r="H42" s="13"/>
      <c r="I42" s="13"/>
      <c r="J42" s="15" t="str">
        <f aca="false">IF(A42="","",IFERROR(INDEX(Requests!$E$2:$E$301,MATCH(A42,Requests!$A$2:$A$301,0)),FALSE()))</f>
        <v/>
      </c>
      <c r="K42" s="15" t="str">
        <f aca="false">IF(A42="","",IF(AND(H42="Y",COUNTIFS($C$2:C42,C42,$H$2:H42,"Y")=1),1,0))</f>
        <v/>
      </c>
      <c r="L42" s="8"/>
      <c r="M42" s="8"/>
    </row>
    <row r="43" customFormat="false" ht="15" hidden="false" customHeight="false" outlineLevel="0" collapsed="false">
      <c r="A43" s="13"/>
      <c r="B43" s="18"/>
      <c r="C43" s="13"/>
      <c r="D43" s="20" t="str">
        <f aca="false">IF(A43="","",SUMIFS(Quotes!$E$2:$E$301,Quotes!$B$2:$B$301,A43,Quotes!$C$2:$C$301,C43))</f>
        <v/>
      </c>
      <c r="E43" s="20" t="str">
        <f aca="false">IF(A43="","",IF(D43&lt;500,25,IF(D43&lt;=1500,75,199)))</f>
        <v/>
      </c>
      <c r="F43" s="15" t="str">
        <f aca="false">IF(B43="","",INT((B43-Settings!$B$2)/7)+1)</f>
        <v/>
      </c>
      <c r="G43" s="15" t="str">
        <f aca="false">IF(F43="","",F43&gt;=Settings!$B$5)</f>
        <v/>
      </c>
      <c r="H43" s="13"/>
      <c r="I43" s="13"/>
      <c r="J43" s="15" t="str">
        <f aca="false">IF(A43="","",IFERROR(INDEX(Requests!$E$2:$E$301,MATCH(A43,Requests!$A$2:$A$301,0)),FALSE()))</f>
        <v/>
      </c>
      <c r="K43" s="15" t="str">
        <f aca="false">IF(A43="","",IF(AND(H43="Y",COUNTIFS($C$2:C43,C43,$H$2:H43,"Y")=1),1,0))</f>
        <v/>
      </c>
      <c r="L43" s="8"/>
      <c r="M43" s="8"/>
    </row>
    <row r="44" customFormat="false" ht="15" hidden="false" customHeight="false" outlineLevel="0" collapsed="false">
      <c r="A44" s="13"/>
      <c r="B44" s="18"/>
      <c r="C44" s="13"/>
      <c r="D44" s="20" t="str">
        <f aca="false">IF(A44="","",SUMIFS(Quotes!$E$2:$E$301,Quotes!$B$2:$B$301,A44,Quotes!$C$2:$C$301,C44))</f>
        <v/>
      </c>
      <c r="E44" s="20" t="str">
        <f aca="false">IF(A44="","",IF(D44&lt;500,25,IF(D44&lt;=1500,75,199)))</f>
        <v/>
      </c>
      <c r="F44" s="15" t="str">
        <f aca="false">IF(B44="","",INT((B44-Settings!$B$2)/7)+1)</f>
        <v/>
      </c>
      <c r="G44" s="15" t="str">
        <f aca="false">IF(F44="","",F44&gt;=Settings!$B$5)</f>
        <v/>
      </c>
      <c r="H44" s="13"/>
      <c r="I44" s="13"/>
      <c r="J44" s="15" t="str">
        <f aca="false">IF(A44="","",IFERROR(INDEX(Requests!$E$2:$E$301,MATCH(A44,Requests!$A$2:$A$301,0)),FALSE()))</f>
        <v/>
      </c>
      <c r="K44" s="15" t="str">
        <f aca="false">IF(A44="","",IF(AND(H44="Y",COUNTIFS($C$2:C44,C44,$H$2:H44,"Y")=1),1,0))</f>
        <v/>
      </c>
      <c r="L44" s="8"/>
      <c r="M44" s="8"/>
    </row>
    <row r="45" customFormat="false" ht="15" hidden="false" customHeight="false" outlineLevel="0" collapsed="false">
      <c r="A45" s="13"/>
      <c r="B45" s="18"/>
      <c r="C45" s="13"/>
      <c r="D45" s="20" t="str">
        <f aca="false">IF(A45="","",SUMIFS(Quotes!$E$2:$E$301,Quotes!$B$2:$B$301,A45,Quotes!$C$2:$C$301,C45))</f>
        <v/>
      </c>
      <c r="E45" s="20" t="str">
        <f aca="false">IF(A45="","",IF(D45&lt;500,25,IF(D45&lt;=1500,75,199)))</f>
        <v/>
      </c>
      <c r="F45" s="15" t="str">
        <f aca="false">IF(B45="","",INT((B45-Settings!$B$2)/7)+1)</f>
        <v/>
      </c>
      <c r="G45" s="15" t="str">
        <f aca="false">IF(F45="","",F45&gt;=Settings!$B$5)</f>
        <v/>
      </c>
      <c r="H45" s="13"/>
      <c r="I45" s="13"/>
      <c r="J45" s="15" t="str">
        <f aca="false">IF(A45="","",IFERROR(INDEX(Requests!$E$2:$E$301,MATCH(A45,Requests!$A$2:$A$301,0)),FALSE()))</f>
        <v/>
      </c>
      <c r="K45" s="15" t="str">
        <f aca="false">IF(A45="","",IF(AND(H45="Y",COUNTIFS($C$2:C45,C45,$H$2:H45,"Y")=1),1,0))</f>
        <v/>
      </c>
      <c r="L45" s="8"/>
      <c r="M45" s="8"/>
    </row>
    <row r="46" customFormat="false" ht="15" hidden="false" customHeight="false" outlineLevel="0" collapsed="false">
      <c r="A46" s="13"/>
      <c r="B46" s="18"/>
      <c r="C46" s="13"/>
      <c r="D46" s="20" t="str">
        <f aca="false">IF(A46="","",SUMIFS(Quotes!$E$2:$E$301,Quotes!$B$2:$B$301,A46,Quotes!$C$2:$C$301,C46))</f>
        <v/>
      </c>
      <c r="E46" s="20" t="str">
        <f aca="false">IF(A46="","",IF(D46&lt;500,25,IF(D46&lt;=1500,75,199)))</f>
        <v/>
      </c>
      <c r="F46" s="15" t="str">
        <f aca="false">IF(B46="","",INT((B46-Settings!$B$2)/7)+1)</f>
        <v/>
      </c>
      <c r="G46" s="15" t="str">
        <f aca="false">IF(F46="","",F46&gt;=Settings!$B$5)</f>
        <v/>
      </c>
      <c r="H46" s="13"/>
      <c r="I46" s="13"/>
      <c r="J46" s="15" t="str">
        <f aca="false">IF(A46="","",IFERROR(INDEX(Requests!$E$2:$E$301,MATCH(A46,Requests!$A$2:$A$301,0)),FALSE()))</f>
        <v/>
      </c>
      <c r="K46" s="15" t="str">
        <f aca="false">IF(A46="","",IF(AND(H46="Y",COUNTIFS($C$2:C46,C46,$H$2:H46,"Y")=1),1,0))</f>
        <v/>
      </c>
      <c r="L46" s="8"/>
      <c r="M46" s="8"/>
    </row>
    <row r="47" customFormat="false" ht="15" hidden="false" customHeight="false" outlineLevel="0" collapsed="false">
      <c r="A47" s="13"/>
      <c r="B47" s="18"/>
      <c r="C47" s="13"/>
      <c r="D47" s="20" t="str">
        <f aca="false">IF(A47="","",SUMIFS(Quotes!$E$2:$E$301,Quotes!$B$2:$B$301,A47,Quotes!$C$2:$C$301,C47))</f>
        <v/>
      </c>
      <c r="E47" s="20" t="str">
        <f aca="false">IF(A47="","",IF(D47&lt;500,25,IF(D47&lt;=1500,75,199)))</f>
        <v/>
      </c>
      <c r="F47" s="15" t="str">
        <f aca="false">IF(B47="","",INT((B47-Settings!$B$2)/7)+1)</f>
        <v/>
      </c>
      <c r="G47" s="15" t="str">
        <f aca="false">IF(F47="","",F47&gt;=Settings!$B$5)</f>
        <v/>
      </c>
      <c r="H47" s="13"/>
      <c r="I47" s="13"/>
      <c r="J47" s="15" t="str">
        <f aca="false">IF(A47="","",IFERROR(INDEX(Requests!$E$2:$E$301,MATCH(A47,Requests!$A$2:$A$301,0)),FALSE()))</f>
        <v/>
      </c>
      <c r="K47" s="15" t="str">
        <f aca="false">IF(A47="","",IF(AND(H47="Y",COUNTIFS($C$2:C47,C47,$H$2:H47,"Y")=1),1,0))</f>
        <v/>
      </c>
      <c r="L47" s="8"/>
      <c r="M47" s="8"/>
    </row>
    <row r="48" customFormat="false" ht="15" hidden="false" customHeight="false" outlineLevel="0" collapsed="false">
      <c r="A48" s="13"/>
      <c r="B48" s="18"/>
      <c r="C48" s="13"/>
      <c r="D48" s="20" t="str">
        <f aca="false">IF(A48="","",SUMIFS(Quotes!$E$2:$E$301,Quotes!$B$2:$B$301,A48,Quotes!$C$2:$C$301,C48))</f>
        <v/>
      </c>
      <c r="E48" s="20" t="str">
        <f aca="false">IF(A48="","",IF(D48&lt;500,25,IF(D48&lt;=1500,75,199)))</f>
        <v/>
      </c>
      <c r="F48" s="15" t="str">
        <f aca="false">IF(B48="","",INT((B48-Settings!$B$2)/7)+1)</f>
        <v/>
      </c>
      <c r="G48" s="15" t="str">
        <f aca="false">IF(F48="","",F48&gt;=Settings!$B$5)</f>
        <v/>
      </c>
      <c r="H48" s="13"/>
      <c r="I48" s="13"/>
      <c r="J48" s="15" t="str">
        <f aca="false">IF(A48="","",IFERROR(INDEX(Requests!$E$2:$E$301,MATCH(A48,Requests!$A$2:$A$301,0)),FALSE()))</f>
        <v/>
      </c>
      <c r="K48" s="15" t="str">
        <f aca="false">IF(A48="","",IF(AND(H48="Y",COUNTIFS($C$2:C48,C48,$H$2:H48,"Y")=1),1,0))</f>
        <v/>
      </c>
      <c r="L48" s="8"/>
      <c r="M48" s="8"/>
    </row>
    <row r="49" customFormat="false" ht="15" hidden="false" customHeight="false" outlineLevel="0" collapsed="false">
      <c r="A49" s="13"/>
      <c r="B49" s="18"/>
      <c r="C49" s="13"/>
      <c r="D49" s="20" t="str">
        <f aca="false">IF(A49="","",SUMIFS(Quotes!$E$2:$E$301,Quotes!$B$2:$B$301,A49,Quotes!$C$2:$C$301,C49))</f>
        <v/>
      </c>
      <c r="E49" s="20" t="str">
        <f aca="false">IF(A49="","",IF(D49&lt;500,25,IF(D49&lt;=1500,75,199)))</f>
        <v/>
      </c>
      <c r="F49" s="15" t="str">
        <f aca="false">IF(B49="","",INT((B49-Settings!$B$2)/7)+1)</f>
        <v/>
      </c>
      <c r="G49" s="15" t="str">
        <f aca="false">IF(F49="","",F49&gt;=Settings!$B$5)</f>
        <v/>
      </c>
      <c r="H49" s="13"/>
      <c r="I49" s="13"/>
      <c r="J49" s="15" t="str">
        <f aca="false">IF(A49="","",IFERROR(INDEX(Requests!$E$2:$E$301,MATCH(A49,Requests!$A$2:$A$301,0)),FALSE()))</f>
        <v/>
      </c>
      <c r="K49" s="15" t="str">
        <f aca="false">IF(A49="","",IF(AND(H49="Y",COUNTIFS($C$2:C49,C49,$H$2:H49,"Y")=1),1,0))</f>
        <v/>
      </c>
      <c r="L49" s="8"/>
      <c r="M49" s="8"/>
    </row>
    <row r="50" customFormat="false" ht="15" hidden="false" customHeight="false" outlineLevel="0" collapsed="false">
      <c r="A50" s="13"/>
      <c r="B50" s="18"/>
      <c r="C50" s="13"/>
      <c r="D50" s="20" t="str">
        <f aca="false">IF(A50="","",SUMIFS(Quotes!$E$2:$E$301,Quotes!$B$2:$B$301,A50,Quotes!$C$2:$C$301,C50))</f>
        <v/>
      </c>
      <c r="E50" s="20" t="str">
        <f aca="false">IF(A50="","",IF(D50&lt;500,25,IF(D50&lt;=1500,75,199)))</f>
        <v/>
      </c>
      <c r="F50" s="15" t="str">
        <f aca="false">IF(B50="","",INT((B50-Settings!$B$2)/7)+1)</f>
        <v/>
      </c>
      <c r="G50" s="15" t="str">
        <f aca="false">IF(F50="","",F50&gt;=Settings!$B$5)</f>
        <v/>
      </c>
      <c r="H50" s="13"/>
      <c r="I50" s="13"/>
      <c r="J50" s="15" t="str">
        <f aca="false">IF(A50="","",IFERROR(INDEX(Requests!$E$2:$E$301,MATCH(A50,Requests!$A$2:$A$301,0)),FALSE()))</f>
        <v/>
      </c>
      <c r="K50" s="15" t="str">
        <f aca="false">IF(A50="","",IF(AND(H50="Y",COUNTIFS($C$2:C50,C50,$H$2:H50,"Y")=1),1,0))</f>
        <v/>
      </c>
      <c r="L50" s="8"/>
      <c r="M50" s="8"/>
    </row>
    <row r="51" customFormat="false" ht="15" hidden="false" customHeight="false" outlineLevel="0" collapsed="false">
      <c r="A51" s="13"/>
      <c r="B51" s="18"/>
      <c r="C51" s="13"/>
      <c r="D51" s="20" t="str">
        <f aca="false">IF(A51="","",SUMIFS(Quotes!$E$2:$E$301,Quotes!$B$2:$B$301,A51,Quotes!$C$2:$C$301,C51))</f>
        <v/>
      </c>
      <c r="E51" s="20" t="str">
        <f aca="false">IF(A51="","",IF(D51&lt;500,25,IF(D51&lt;=1500,75,199)))</f>
        <v/>
      </c>
      <c r="F51" s="15" t="str">
        <f aca="false">IF(B51="","",INT((B51-Settings!$B$2)/7)+1)</f>
        <v/>
      </c>
      <c r="G51" s="15" t="str">
        <f aca="false">IF(F51="","",F51&gt;=Settings!$B$5)</f>
        <v/>
      </c>
      <c r="H51" s="13"/>
      <c r="I51" s="13"/>
      <c r="J51" s="15" t="str">
        <f aca="false">IF(A51="","",IFERROR(INDEX(Requests!$E$2:$E$301,MATCH(A51,Requests!$A$2:$A$301,0)),FALSE()))</f>
        <v/>
      </c>
      <c r="K51" s="15" t="str">
        <f aca="false">IF(A51="","",IF(AND(H51="Y",COUNTIFS($C$2:C51,C51,$H$2:H51,"Y")=1),1,0))</f>
        <v/>
      </c>
      <c r="L51" s="8"/>
      <c r="M51" s="8"/>
    </row>
    <row r="52" customFormat="false" ht="15" hidden="false" customHeight="false" outlineLevel="0" collapsed="false">
      <c r="A52" s="13"/>
      <c r="B52" s="18"/>
      <c r="C52" s="13"/>
      <c r="D52" s="20" t="str">
        <f aca="false">IF(A52="","",SUMIFS(Quotes!$E$2:$E$301,Quotes!$B$2:$B$301,A52,Quotes!$C$2:$C$301,C52))</f>
        <v/>
      </c>
      <c r="E52" s="20" t="str">
        <f aca="false">IF(A52="","",IF(D52&lt;500,25,IF(D52&lt;=1500,75,199)))</f>
        <v/>
      </c>
      <c r="F52" s="15" t="str">
        <f aca="false">IF(B52="","",INT((B52-Settings!$B$2)/7)+1)</f>
        <v/>
      </c>
      <c r="G52" s="15" t="str">
        <f aca="false">IF(F52="","",F52&gt;=Settings!$B$5)</f>
        <v/>
      </c>
      <c r="H52" s="13"/>
      <c r="I52" s="13"/>
      <c r="J52" s="15" t="str">
        <f aca="false">IF(A52="","",IFERROR(INDEX(Requests!$E$2:$E$301,MATCH(A52,Requests!$A$2:$A$301,0)),FALSE()))</f>
        <v/>
      </c>
      <c r="K52" s="15" t="str">
        <f aca="false">IF(A52="","",IF(AND(H52="Y",COUNTIFS($C$2:C52,C52,$H$2:H52,"Y")=1),1,0))</f>
        <v/>
      </c>
      <c r="L52" s="8"/>
      <c r="M52" s="8"/>
    </row>
    <row r="53" customFormat="false" ht="15" hidden="false" customHeight="false" outlineLevel="0" collapsed="false">
      <c r="A53" s="13"/>
      <c r="B53" s="18"/>
      <c r="C53" s="13"/>
      <c r="D53" s="20" t="str">
        <f aca="false">IF(A53="","",SUMIFS(Quotes!$E$2:$E$301,Quotes!$B$2:$B$301,A53,Quotes!$C$2:$C$301,C53))</f>
        <v/>
      </c>
      <c r="E53" s="20" t="str">
        <f aca="false">IF(A53="","",IF(D53&lt;500,25,IF(D53&lt;=1500,75,199)))</f>
        <v/>
      </c>
      <c r="F53" s="15" t="str">
        <f aca="false">IF(B53="","",INT((B53-Settings!$B$2)/7)+1)</f>
        <v/>
      </c>
      <c r="G53" s="15" t="str">
        <f aca="false">IF(F53="","",F53&gt;=Settings!$B$5)</f>
        <v/>
      </c>
      <c r="H53" s="13"/>
      <c r="I53" s="13"/>
      <c r="J53" s="15" t="str">
        <f aca="false">IF(A53="","",IFERROR(INDEX(Requests!$E$2:$E$301,MATCH(A53,Requests!$A$2:$A$301,0)),FALSE()))</f>
        <v/>
      </c>
      <c r="K53" s="15" t="str">
        <f aca="false">IF(A53="","",IF(AND(H53="Y",COUNTIFS($C$2:C53,C53,$H$2:H53,"Y")=1),1,0))</f>
        <v/>
      </c>
      <c r="L53" s="8"/>
      <c r="M53" s="8"/>
    </row>
    <row r="54" customFormat="false" ht="15" hidden="false" customHeight="false" outlineLevel="0" collapsed="false">
      <c r="A54" s="13"/>
      <c r="B54" s="18"/>
      <c r="C54" s="13"/>
      <c r="D54" s="20" t="str">
        <f aca="false">IF(A54="","",SUMIFS(Quotes!$E$2:$E$301,Quotes!$B$2:$B$301,A54,Quotes!$C$2:$C$301,C54))</f>
        <v/>
      </c>
      <c r="E54" s="20" t="str">
        <f aca="false">IF(A54="","",IF(D54&lt;500,25,IF(D54&lt;=1500,75,199)))</f>
        <v/>
      </c>
      <c r="F54" s="15" t="str">
        <f aca="false">IF(B54="","",INT((B54-Settings!$B$2)/7)+1)</f>
        <v/>
      </c>
      <c r="G54" s="15" t="str">
        <f aca="false">IF(F54="","",F54&gt;=Settings!$B$5)</f>
        <v/>
      </c>
      <c r="H54" s="13"/>
      <c r="I54" s="13"/>
      <c r="J54" s="15" t="str">
        <f aca="false">IF(A54="","",IFERROR(INDEX(Requests!$E$2:$E$301,MATCH(A54,Requests!$A$2:$A$301,0)),FALSE()))</f>
        <v/>
      </c>
      <c r="K54" s="15" t="str">
        <f aca="false">IF(A54="","",IF(AND(H54="Y",COUNTIFS($C$2:C54,C54,$H$2:H54,"Y")=1),1,0))</f>
        <v/>
      </c>
      <c r="L54" s="8"/>
      <c r="M54" s="8"/>
    </row>
    <row r="55" customFormat="false" ht="15" hidden="false" customHeight="false" outlineLevel="0" collapsed="false">
      <c r="A55" s="13"/>
      <c r="B55" s="18"/>
      <c r="C55" s="13"/>
      <c r="D55" s="20" t="str">
        <f aca="false">IF(A55="","",SUMIFS(Quotes!$E$2:$E$301,Quotes!$B$2:$B$301,A55,Quotes!$C$2:$C$301,C55))</f>
        <v/>
      </c>
      <c r="E55" s="20" t="str">
        <f aca="false">IF(A55="","",IF(D55&lt;500,25,IF(D55&lt;=1500,75,199)))</f>
        <v/>
      </c>
      <c r="F55" s="15" t="str">
        <f aca="false">IF(B55="","",INT((B55-Settings!$B$2)/7)+1)</f>
        <v/>
      </c>
      <c r="G55" s="15" t="str">
        <f aca="false">IF(F55="","",F55&gt;=Settings!$B$5)</f>
        <v/>
      </c>
      <c r="H55" s="13"/>
      <c r="I55" s="13"/>
      <c r="J55" s="15" t="str">
        <f aca="false">IF(A55="","",IFERROR(INDEX(Requests!$E$2:$E$301,MATCH(A55,Requests!$A$2:$A$301,0)),FALSE()))</f>
        <v/>
      </c>
      <c r="K55" s="15" t="str">
        <f aca="false">IF(A55="","",IF(AND(H55="Y",COUNTIFS($C$2:C55,C55,$H$2:H55,"Y")=1),1,0))</f>
        <v/>
      </c>
      <c r="L55" s="8"/>
      <c r="M55" s="8"/>
    </row>
    <row r="56" customFormat="false" ht="15" hidden="false" customHeight="false" outlineLevel="0" collapsed="false">
      <c r="A56" s="13"/>
      <c r="B56" s="18"/>
      <c r="C56" s="13"/>
      <c r="D56" s="20" t="str">
        <f aca="false">IF(A56="","",SUMIFS(Quotes!$E$2:$E$301,Quotes!$B$2:$B$301,A56,Quotes!$C$2:$C$301,C56))</f>
        <v/>
      </c>
      <c r="E56" s="20" t="str">
        <f aca="false">IF(A56="","",IF(D56&lt;500,25,IF(D56&lt;=1500,75,199)))</f>
        <v/>
      </c>
      <c r="F56" s="15" t="str">
        <f aca="false">IF(B56="","",INT((B56-Settings!$B$2)/7)+1)</f>
        <v/>
      </c>
      <c r="G56" s="15" t="str">
        <f aca="false">IF(F56="","",F56&gt;=Settings!$B$5)</f>
        <v/>
      </c>
      <c r="H56" s="13"/>
      <c r="I56" s="13"/>
      <c r="J56" s="15" t="str">
        <f aca="false">IF(A56="","",IFERROR(INDEX(Requests!$E$2:$E$301,MATCH(A56,Requests!$A$2:$A$301,0)),FALSE()))</f>
        <v/>
      </c>
      <c r="K56" s="15" t="str">
        <f aca="false">IF(A56="","",IF(AND(H56="Y",COUNTIFS($C$2:C56,C56,$H$2:H56,"Y")=1),1,0))</f>
        <v/>
      </c>
      <c r="L56" s="8"/>
      <c r="M56" s="8"/>
    </row>
    <row r="57" customFormat="false" ht="15" hidden="false" customHeight="false" outlineLevel="0" collapsed="false">
      <c r="A57" s="13"/>
      <c r="B57" s="18"/>
      <c r="C57" s="13"/>
      <c r="D57" s="20" t="str">
        <f aca="false">IF(A57="","",SUMIFS(Quotes!$E$2:$E$301,Quotes!$B$2:$B$301,A57,Quotes!$C$2:$C$301,C57))</f>
        <v/>
      </c>
      <c r="E57" s="20" t="str">
        <f aca="false">IF(A57="","",IF(D57&lt;500,25,IF(D57&lt;=1500,75,199)))</f>
        <v/>
      </c>
      <c r="F57" s="15" t="str">
        <f aca="false">IF(B57="","",INT((B57-Settings!$B$2)/7)+1)</f>
        <v/>
      </c>
      <c r="G57" s="15" t="str">
        <f aca="false">IF(F57="","",F57&gt;=Settings!$B$5)</f>
        <v/>
      </c>
      <c r="H57" s="13"/>
      <c r="I57" s="13"/>
      <c r="J57" s="15" t="str">
        <f aca="false">IF(A57="","",IFERROR(INDEX(Requests!$E$2:$E$301,MATCH(A57,Requests!$A$2:$A$301,0)),FALSE()))</f>
        <v/>
      </c>
      <c r="K57" s="15" t="str">
        <f aca="false">IF(A57="","",IF(AND(H57="Y",COUNTIFS($C$2:C57,C57,$H$2:H57,"Y")=1),1,0))</f>
        <v/>
      </c>
      <c r="L57" s="8"/>
      <c r="M57" s="8"/>
    </row>
    <row r="58" customFormat="false" ht="15" hidden="false" customHeight="false" outlineLevel="0" collapsed="false">
      <c r="A58" s="13"/>
      <c r="B58" s="18"/>
      <c r="C58" s="13"/>
      <c r="D58" s="20" t="str">
        <f aca="false">IF(A58="","",SUMIFS(Quotes!$E$2:$E$301,Quotes!$B$2:$B$301,A58,Quotes!$C$2:$C$301,C58))</f>
        <v/>
      </c>
      <c r="E58" s="20" t="str">
        <f aca="false">IF(A58="","",IF(D58&lt;500,25,IF(D58&lt;=1500,75,199)))</f>
        <v/>
      </c>
      <c r="F58" s="15" t="str">
        <f aca="false">IF(B58="","",INT((B58-Settings!$B$2)/7)+1)</f>
        <v/>
      </c>
      <c r="G58" s="15" t="str">
        <f aca="false">IF(F58="","",F58&gt;=Settings!$B$5)</f>
        <v/>
      </c>
      <c r="H58" s="13"/>
      <c r="I58" s="13"/>
      <c r="J58" s="15" t="str">
        <f aca="false">IF(A58="","",IFERROR(INDEX(Requests!$E$2:$E$301,MATCH(A58,Requests!$A$2:$A$301,0)),FALSE()))</f>
        <v/>
      </c>
      <c r="K58" s="15" t="str">
        <f aca="false">IF(A58="","",IF(AND(H58="Y",COUNTIFS($C$2:C58,C58,$H$2:H58,"Y")=1),1,0))</f>
        <v/>
      </c>
      <c r="L58" s="8"/>
      <c r="M58" s="8"/>
    </row>
    <row r="59" customFormat="false" ht="15" hidden="false" customHeight="false" outlineLevel="0" collapsed="false">
      <c r="A59" s="13"/>
      <c r="B59" s="18"/>
      <c r="C59" s="13"/>
      <c r="D59" s="20" t="str">
        <f aca="false">IF(A59="","",SUMIFS(Quotes!$E$2:$E$301,Quotes!$B$2:$B$301,A59,Quotes!$C$2:$C$301,C59))</f>
        <v/>
      </c>
      <c r="E59" s="20" t="str">
        <f aca="false">IF(A59="","",IF(D59&lt;500,25,IF(D59&lt;=1500,75,199)))</f>
        <v/>
      </c>
      <c r="F59" s="15" t="str">
        <f aca="false">IF(B59="","",INT((B59-Settings!$B$2)/7)+1)</f>
        <v/>
      </c>
      <c r="G59" s="15" t="str">
        <f aca="false">IF(F59="","",F59&gt;=Settings!$B$5)</f>
        <v/>
      </c>
      <c r="H59" s="13"/>
      <c r="I59" s="13"/>
      <c r="J59" s="15" t="str">
        <f aca="false">IF(A59="","",IFERROR(INDEX(Requests!$E$2:$E$301,MATCH(A59,Requests!$A$2:$A$301,0)),FALSE()))</f>
        <v/>
      </c>
      <c r="K59" s="15" t="str">
        <f aca="false">IF(A59="","",IF(AND(H59="Y",COUNTIFS($C$2:C59,C59,$H$2:H59,"Y")=1),1,0))</f>
        <v/>
      </c>
      <c r="L59" s="8"/>
      <c r="M59" s="8"/>
    </row>
    <row r="60" customFormat="false" ht="15" hidden="false" customHeight="false" outlineLevel="0" collapsed="false">
      <c r="A60" s="13"/>
      <c r="B60" s="18"/>
      <c r="C60" s="13"/>
      <c r="D60" s="20" t="str">
        <f aca="false">IF(A60="","",SUMIFS(Quotes!$E$2:$E$301,Quotes!$B$2:$B$301,A60,Quotes!$C$2:$C$301,C60))</f>
        <v/>
      </c>
      <c r="E60" s="20" t="str">
        <f aca="false">IF(A60="","",IF(D60&lt;500,25,IF(D60&lt;=1500,75,199)))</f>
        <v/>
      </c>
      <c r="F60" s="15" t="str">
        <f aca="false">IF(B60="","",INT((B60-Settings!$B$2)/7)+1)</f>
        <v/>
      </c>
      <c r="G60" s="15" t="str">
        <f aca="false">IF(F60="","",F60&gt;=Settings!$B$5)</f>
        <v/>
      </c>
      <c r="H60" s="13"/>
      <c r="I60" s="13"/>
      <c r="J60" s="15" t="str">
        <f aca="false">IF(A60="","",IFERROR(INDEX(Requests!$E$2:$E$301,MATCH(A60,Requests!$A$2:$A$301,0)),FALSE()))</f>
        <v/>
      </c>
      <c r="K60" s="15" t="str">
        <f aca="false">IF(A60="","",IF(AND(H60="Y",COUNTIFS($C$2:C60,C60,$H$2:H60,"Y")=1),1,0))</f>
        <v/>
      </c>
      <c r="L60" s="8"/>
      <c r="M60" s="8"/>
    </row>
    <row r="61" customFormat="false" ht="15" hidden="false" customHeight="false" outlineLevel="0" collapsed="false">
      <c r="A61" s="13"/>
      <c r="B61" s="18"/>
      <c r="C61" s="13"/>
      <c r="D61" s="20" t="str">
        <f aca="false">IF(A61="","",SUMIFS(Quotes!$E$2:$E$301,Quotes!$B$2:$B$301,A61,Quotes!$C$2:$C$301,C61))</f>
        <v/>
      </c>
      <c r="E61" s="20" t="str">
        <f aca="false">IF(A61="","",IF(D61&lt;500,25,IF(D61&lt;=1500,75,199)))</f>
        <v/>
      </c>
      <c r="F61" s="15" t="str">
        <f aca="false">IF(B61="","",INT((B61-Settings!$B$2)/7)+1)</f>
        <v/>
      </c>
      <c r="G61" s="15" t="str">
        <f aca="false">IF(F61="","",F61&gt;=Settings!$B$5)</f>
        <v/>
      </c>
      <c r="H61" s="13"/>
      <c r="I61" s="13"/>
      <c r="J61" s="15" t="str">
        <f aca="false">IF(A61="","",IFERROR(INDEX(Requests!$E$2:$E$301,MATCH(A61,Requests!$A$2:$A$301,0)),FALSE()))</f>
        <v/>
      </c>
      <c r="K61" s="15" t="str">
        <f aca="false">IF(A61="","",IF(AND(H61="Y",COUNTIFS($C$2:C61,C61,$H$2:H61,"Y")=1),1,0))</f>
        <v/>
      </c>
      <c r="L61" s="8"/>
      <c r="M61" s="8"/>
    </row>
    <row r="62" customFormat="false" ht="15" hidden="false" customHeight="false" outlineLevel="0" collapsed="false">
      <c r="A62" s="13"/>
      <c r="B62" s="18"/>
      <c r="C62" s="13"/>
      <c r="D62" s="20" t="str">
        <f aca="false">IF(A62="","",SUMIFS(Quotes!$E$2:$E$301,Quotes!$B$2:$B$301,A62,Quotes!$C$2:$C$301,C62))</f>
        <v/>
      </c>
      <c r="E62" s="20" t="str">
        <f aca="false">IF(A62="","",IF(D62&lt;500,25,IF(D62&lt;=1500,75,199)))</f>
        <v/>
      </c>
      <c r="F62" s="15" t="str">
        <f aca="false">IF(B62="","",INT((B62-Settings!$B$2)/7)+1)</f>
        <v/>
      </c>
      <c r="G62" s="15" t="str">
        <f aca="false">IF(F62="","",F62&gt;=Settings!$B$5)</f>
        <v/>
      </c>
      <c r="H62" s="13"/>
      <c r="I62" s="13"/>
      <c r="J62" s="15" t="str">
        <f aca="false">IF(A62="","",IFERROR(INDEX(Requests!$E$2:$E$301,MATCH(A62,Requests!$A$2:$A$301,0)),FALSE()))</f>
        <v/>
      </c>
      <c r="K62" s="15" t="str">
        <f aca="false">IF(A62="","",IF(AND(H62="Y",COUNTIFS($C$2:C62,C62,$H$2:H62,"Y")=1),1,0))</f>
        <v/>
      </c>
      <c r="L62" s="8"/>
      <c r="M62" s="8"/>
    </row>
    <row r="63" customFormat="false" ht="15" hidden="false" customHeight="false" outlineLevel="0" collapsed="false">
      <c r="A63" s="13"/>
      <c r="B63" s="18"/>
      <c r="C63" s="13"/>
      <c r="D63" s="20" t="str">
        <f aca="false">IF(A63="","",SUMIFS(Quotes!$E$2:$E$301,Quotes!$B$2:$B$301,A63,Quotes!$C$2:$C$301,C63))</f>
        <v/>
      </c>
      <c r="E63" s="20" t="str">
        <f aca="false">IF(A63="","",IF(D63&lt;500,25,IF(D63&lt;=1500,75,199)))</f>
        <v/>
      </c>
      <c r="F63" s="15" t="str">
        <f aca="false">IF(B63="","",INT((B63-Settings!$B$2)/7)+1)</f>
        <v/>
      </c>
      <c r="G63" s="15" t="str">
        <f aca="false">IF(F63="","",F63&gt;=Settings!$B$5)</f>
        <v/>
      </c>
      <c r="H63" s="13"/>
      <c r="I63" s="13"/>
      <c r="J63" s="15" t="str">
        <f aca="false">IF(A63="","",IFERROR(INDEX(Requests!$E$2:$E$301,MATCH(A63,Requests!$A$2:$A$301,0)),FALSE()))</f>
        <v/>
      </c>
      <c r="K63" s="15" t="str">
        <f aca="false">IF(A63="","",IF(AND(H63="Y",COUNTIFS($C$2:C63,C63,$H$2:H63,"Y")=1),1,0))</f>
        <v/>
      </c>
      <c r="L63" s="8"/>
      <c r="M63" s="8"/>
    </row>
    <row r="64" customFormat="false" ht="15" hidden="false" customHeight="false" outlineLevel="0" collapsed="false">
      <c r="A64" s="13"/>
      <c r="B64" s="18"/>
      <c r="C64" s="13"/>
      <c r="D64" s="20" t="str">
        <f aca="false">IF(A64="","",SUMIFS(Quotes!$E$2:$E$301,Quotes!$B$2:$B$301,A64,Quotes!$C$2:$C$301,C64))</f>
        <v/>
      </c>
      <c r="E64" s="20" t="str">
        <f aca="false">IF(A64="","",IF(D64&lt;500,25,IF(D64&lt;=1500,75,199)))</f>
        <v/>
      </c>
      <c r="F64" s="15" t="str">
        <f aca="false">IF(B64="","",INT((B64-Settings!$B$2)/7)+1)</f>
        <v/>
      </c>
      <c r="G64" s="15" t="str">
        <f aca="false">IF(F64="","",F64&gt;=Settings!$B$5)</f>
        <v/>
      </c>
      <c r="H64" s="13"/>
      <c r="I64" s="13"/>
      <c r="J64" s="15" t="str">
        <f aca="false">IF(A64="","",IFERROR(INDEX(Requests!$E$2:$E$301,MATCH(A64,Requests!$A$2:$A$301,0)),FALSE()))</f>
        <v/>
      </c>
      <c r="K64" s="15" t="str">
        <f aca="false">IF(A64="","",IF(AND(H64="Y",COUNTIFS($C$2:C64,C64,$H$2:H64,"Y")=1),1,0))</f>
        <v/>
      </c>
      <c r="L64" s="8"/>
      <c r="M64" s="8"/>
    </row>
    <row r="65" customFormat="false" ht="15" hidden="false" customHeight="false" outlineLevel="0" collapsed="false">
      <c r="A65" s="13"/>
      <c r="B65" s="18"/>
      <c r="C65" s="13"/>
      <c r="D65" s="20" t="str">
        <f aca="false">IF(A65="","",SUMIFS(Quotes!$E$2:$E$301,Quotes!$B$2:$B$301,A65,Quotes!$C$2:$C$301,C65))</f>
        <v/>
      </c>
      <c r="E65" s="20" t="str">
        <f aca="false">IF(A65="","",IF(D65&lt;500,25,IF(D65&lt;=1500,75,199)))</f>
        <v/>
      </c>
      <c r="F65" s="15" t="str">
        <f aca="false">IF(B65="","",INT((B65-Settings!$B$2)/7)+1)</f>
        <v/>
      </c>
      <c r="G65" s="15" t="str">
        <f aca="false">IF(F65="","",F65&gt;=Settings!$B$5)</f>
        <v/>
      </c>
      <c r="H65" s="13"/>
      <c r="I65" s="13"/>
      <c r="J65" s="15" t="str">
        <f aca="false">IF(A65="","",IFERROR(INDEX(Requests!$E$2:$E$301,MATCH(A65,Requests!$A$2:$A$301,0)),FALSE()))</f>
        <v/>
      </c>
      <c r="K65" s="15" t="str">
        <f aca="false">IF(A65="","",IF(AND(H65="Y",COUNTIFS($C$2:C65,C65,$H$2:H65,"Y")=1),1,0))</f>
        <v/>
      </c>
      <c r="L65" s="8"/>
      <c r="M65" s="8"/>
    </row>
    <row r="66" customFormat="false" ht="15" hidden="false" customHeight="false" outlineLevel="0" collapsed="false">
      <c r="A66" s="13"/>
      <c r="B66" s="18"/>
      <c r="C66" s="13"/>
      <c r="D66" s="20" t="str">
        <f aca="false">IF(A66="","",SUMIFS(Quotes!$E$2:$E$301,Quotes!$B$2:$B$301,A66,Quotes!$C$2:$C$301,C66))</f>
        <v/>
      </c>
      <c r="E66" s="20" t="str">
        <f aca="false">IF(A66="","",IF(D66&lt;500,25,IF(D66&lt;=1500,75,199)))</f>
        <v/>
      </c>
      <c r="F66" s="15" t="str">
        <f aca="false">IF(B66="","",INT((B66-Settings!$B$2)/7)+1)</f>
        <v/>
      </c>
      <c r="G66" s="15" t="str">
        <f aca="false">IF(F66="","",F66&gt;=Settings!$B$5)</f>
        <v/>
      </c>
      <c r="H66" s="13"/>
      <c r="I66" s="13"/>
      <c r="J66" s="15" t="str">
        <f aca="false">IF(A66="","",IFERROR(INDEX(Requests!$E$2:$E$301,MATCH(A66,Requests!$A$2:$A$301,0)),FALSE()))</f>
        <v/>
      </c>
      <c r="K66" s="15" t="str">
        <f aca="false">IF(A66="","",IF(AND(H66="Y",COUNTIFS($C$2:C66,C66,$H$2:H66,"Y")=1),1,0))</f>
        <v/>
      </c>
      <c r="L66" s="8"/>
      <c r="M66" s="8"/>
    </row>
    <row r="67" customFormat="false" ht="15" hidden="false" customHeight="false" outlineLevel="0" collapsed="false">
      <c r="A67" s="13"/>
      <c r="B67" s="18"/>
      <c r="C67" s="13"/>
      <c r="D67" s="20" t="str">
        <f aca="false">IF(A67="","",SUMIFS(Quotes!$E$2:$E$301,Quotes!$B$2:$B$301,A67,Quotes!$C$2:$C$301,C67))</f>
        <v/>
      </c>
      <c r="E67" s="20" t="str">
        <f aca="false">IF(A67="","",IF(D67&lt;500,25,IF(D67&lt;=1500,75,199)))</f>
        <v/>
      </c>
      <c r="F67" s="15" t="str">
        <f aca="false">IF(B67="","",INT((B67-Settings!$B$2)/7)+1)</f>
        <v/>
      </c>
      <c r="G67" s="15" t="str">
        <f aca="false">IF(F67="","",F67&gt;=Settings!$B$5)</f>
        <v/>
      </c>
      <c r="H67" s="13"/>
      <c r="I67" s="13"/>
      <c r="J67" s="15" t="str">
        <f aca="false">IF(A67="","",IFERROR(INDEX(Requests!$E$2:$E$301,MATCH(A67,Requests!$A$2:$A$301,0)),FALSE()))</f>
        <v/>
      </c>
      <c r="K67" s="15" t="str">
        <f aca="false">IF(A67="","",IF(AND(H67="Y",COUNTIFS($C$2:C67,C67,$H$2:H67,"Y")=1),1,0))</f>
        <v/>
      </c>
      <c r="L67" s="8"/>
      <c r="M67" s="8"/>
    </row>
    <row r="68" customFormat="false" ht="15" hidden="false" customHeight="false" outlineLevel="0" collapsed="false">
      <c r="A68" s="13"/>
      <c r="B68" s="18"/>
      <c r="C68" s="13"/>
      <c r="D68" s="20" t="str">
        <f aca="false">IF(A68="","",SUMIFS(Quotes!$E$2:$E$301,Quotes!$B$2:$B$301,A68,Quotes!$C$2:$C$301,C68))</f>
        <v/>
      </c>
      <c r="E68" s="20" t="str">
        <f aca="false">IF(A68="","",IF(D68&lt;500,25,IF(D68&lt;=1500,75,199)))</f>
        <v/>
      </c>
      <c r="F68" s="15" t="str">
        <f aca="false">IF(B68="","",INT((B68-Settings!$B$2)/7)+1)</f>
        <v/>
      </c>
      <c r="G68" s="15" t="str">
        <f aca="false">IF(F68="","",F68&gt;=Settings!$B$5)</f>
        <v/>
      </c>
      <c r="H68" s="13"/>
      <c r="I68" s="13"/>
      <c r="J68" s="15" t="str">
        <f aca="false">IF(A68="","",IFERROR(INDEX(Requests!$E$2:$E$301,MATCH(A68,Requests!$A$2:$A$301,0)),FALSE()))</f>
        <v/>
      </c>
      <c r="K68" s="15" t="str">
        <f aca="false">IF(A68="","",IF(AND(H68="Y",COUNTIFS($C$2:C68,C68,$H$2:H68,"Y")=1),1,0))</f>
        <v/>
      </c>
      <c r="L68" s="8"/>
      <c r="M68" s="8"/>
    </row>
    <row r="69" customFormat="false" ht="15" hidden="false" customHeight="false" outlineLevel="0" collapsed="false">
      <c r="A69" s="13"/>
      <c r="B69" s="18"/>
      <c r="C69" s="13"/>
      <c r="D69" s="20" t="str">
        <f aca="false">IF(A69="","",SUMIFS(Quotes!$E$2:$E$301,Quotes!$B$2:$B$301,A69,Quotes!$C$2:$C$301,C69))</f>
        <v/>
      </c>
      <c r="E69" s="20" t="str">
        <f aca="false">IF(A69="","",IF(D69&lt;500,25,IF(D69&lt;=1500,75,199)))</f>
        <v/>
      </c>
      <c r="F69" s="15" t="str">
        <f aca="false">IF(B69="","",INT((B69-Settings!$B$2)/7)+1)</f>
        <v/>
      </c>
      <c r="G69" s="15" t="str">
        <f aca="false">IF(F69="","",F69&gt;=Settings!$B$5)</f>
        <v/>
      </c>
      <c r="H69" s="13"/>
      <c r="I69" s="13"/>
      <c r="J69" s="15" t="str">
        <f aca="false">IF(A69="","",IFERROR(INDEX(Requests!$E$2:$E$301,MATCH(A69,Requests!$A$2:$A$301,0)),FALSE()))</f>
        <v/>
      </c>
      <c r="K69" s="15" t="str">
        <f aca="false">IF(A69="","",IF(AND(H69="Y",COUNTIFS($C$2:C69,C69,$H$2:H69,"Y")=1),1,0))</f>
        <v/>
      </c>
      <c r="L69" s="8"/>
      <c r="M69" s="8"/>
    </row>
    <row r="70" customFormat="false" ht="15" hidden="false" customHeight="false" outlineLevel="0" collapsed="false">
      <c r="A70" s="13"/>
      <c r="B70" s="18"/>
      <c r="C70" s="13"/>
      <c r="D70" s="20" t="str">
        <f aca="false">IF(A70="","",SUMIFS(Quotes!$E$2:$E$301,Quotes!$B$2:$B$301,A70,Quotes!$C$2:$C$301,C70))</f>
        <v/>
      </c>
      <c r="E70" s="20" t="str">
        <f aca="false">IF(A70="","",IF(D70&lt;500,25,IF(D70&lt;=1500,75,199)))</f>
        <v/>
      </c>
      <c r="F70" s="15" t="str">
        <f aca="false">IF(B70="","",INT((B70-Settings!$B$2)/7)+1)</f>
        <v/>
      </c>
      <c r="G70" s="15" t="str">
        <f aca="false">IF(F70="","",F70&gt;=Settings!$B$5)</f>
        <v/>
      </c>
      <c r="H70" s="13"/>
      <c r="I70" s="13"/>
      <c r="J70" s="15" t="str">
        <f aca="false">IF(A70="","",IFERROR(INDEX(Requests!$E$2:$E$301,MATCH(A70,Requests!$A$2:$A$301,0)),FALSE()))</f>
        <v/>
      </c>
      <c r="K70" s="15" t="str">
        <f aca="false">IF(A70="","",IF(AND(H70="Y",COUNTIFS($C$2:C70,C70,$H$2:H70,"Y")=1),1,0))</f>
        <v/>
      </c>
      <c r="L70" s="8"/>
      <c r="M70" s="8"/>
    </row>
    <row r="71" customFormat="false" ht="15" hidden="false" customHeight="false" outlineLevel="0" collapsed="false">
      <c r="A71" s="13"/>
      <c r="B71" s="18"/>
      <c r="C71" s="13"/>
      <c r="D71" s="20" t="str">
        <f aca="false">IF(A71="","",SUMIFS(Quotes!$E$2:$E$301,Quotes!$B$2:$B$301,A71,Quotes!$C$2:$C$301,C71))</f>
        <v/>
      </c>
      <c r="E71" s="20" t="str">
        <f aca="false">IF(A71="","",IF(D71&lt;500,25,IF(D71&lt;=1500,75,199)))</f>
        <v/>
      </c>
      <c r="F71" s="15" t="str">
        <f aca="false">IF(B71="","",INT((B71-Settings!$B$2)/7)+1)</f>
        <v/>
      </c>
      <c r="G71" s="15" t="str">
        <f aca="false">IF(F71="","",F71&gt;=Settings!$B$5)</f>
        <v/>
      </c>
      <c r="H71" s="13"/>
      <c r="I71" s="13"/>
      <c r="J71" s="15" t="str">
        <f aca="false">IF(A71="","",IFERROR(INDEX(Requests!$E$2:$E$301,MATCH(A71,Requests!$A$2:$A$301,0)),FALSE()))</f>
        <v/>
      </c>
      <c r="K71" s="15" t="str">
        <f aca="false">IF(A71="","",IF(AND(H71="Y",COUNTIFS($C$2:C71,C71,$H$2:H71,"Y")=1),1,0))</f>
        <v/>
      </c>
      <c r="L71" s="8"/>
      <c r="M71" s="8"/>
    </row>
    <row r="72" customFormat="false" ht="15" hidden="false" customHeight="false" outlineLevel="0" collapsed="false">
      <c r="A72" s="13"/>
      <c r="B72" s="18"/>
      <c r="C72" s="13"/>
      <c r="D72" s="20" t="str">
        <f aca="false">IF(A72="","",SUMIFS(Quotes!$E$2:$E$301,Quotes!$B$2:$B$301,A72,Quotes!$C$2:$C$301,C72))</f>
        <v/>
      </c>
      <c r="E72" s="20" t="str">
        <f aca="false">IF(A72="","",IF(D72&lt;500,25,IF(D72&lt;=1500,75,199)))</f>
        <v/>
      </c>
      <c r="F72" s="15" t="str">
        <f aca="false">IF(B72="","",INT((B72-Settings!$B$2)/7)+1)</f>
        <v/>
      </c>
      <c r="G72" s="15" t="str">
        <f aca="false">IF(F72="","",F72&gt;=Settings!$B$5)</f>
        <v/>
      </c>
      <c r="H72" s="13"/>
      <c r="I72" s="13"/>
      <c r="J72" s="15" t="str">
        <f aca="false">IF(A72="","",IFERROR(INDEX(Requests!$E$2:$E$301,MATCH(A72,Requests!$A$2:$A$301,0)),FALSE()))</f>
        <v/>
      </c>
      <c r="K72" s="15" t="str">
        <f aca="false">IF(A72="","",IF(AND(H72="Y",COUNTIFS($C$2:C72,C72,$H$2:H72,"Y")=1),1,0))</f>
        <v/>
      </c>
      <c r="L72" s="8"/>
      <c r="M72" s="8"/>
    </row>
    <row r="73" customFormat="false" ht="15" hidden="false" customHeight="false" outlineLevel="0" collapsed="false">
      <c r="A73" s="13"/>
      <c r="B73" s="18"/>
      <c r="C73" s="13"/>
      <c r="D73" s="20" t="str">
        <f aca="false">IF(A73="","",SUMIFS(Quotes!$E$2:$E$301,Quotes!$B$2:$B$301,A73,Quotes!$C$2:$C$301,C73))</f>
        <v/>
      </c>
      <c r="E73" s="20" t="str">
        <f aca="false">IF(A73="","",IF(D73&lt;500,25,IF(D73&lt;=1500,75,199)))</f>
        <v/>
      </c>
      <c r="F73" s="15" t="str">
        <f aca="false">IF(B73="","",INT((B73-Settings!$B$2)/7)+1)</f>
        <v/>
      </c>
      <c r="G73" s="15" t="str">
        <f aca="false">IF(F73="","",F73&gt;=Settings!$B$5)</f>
        <v/>
      </c>
      <c r="H73" s="13"/>
      <c r="I73" s="13"/>
      <c r="J73" s="15" t="str">
        <f aca="false">IF(A73="","",IFERROR(INDEX(Requests!$E$2:$E$301,MATCH(A73,Requests!$A$2:$A$301,0)),FALSE()))</f>
        <v/>
      </c>
      <c r="K73" s="15" t="str">
        <f aca="false">IF(A73="","",IF(AND(H73="Y",COUNTIFS($C$2:C73,C73,$H$2:H73,"Y")=1),1,0))</f>
        <v/>
      </c>
      <c r="L73" s="8"/>
      <c r="M73" s="8"/>
    </row>
    <row r="74" customFormat="false" ht="15" hidden="false" customHeight="false" outlineLevel="0" collapsed="false">
      <c r="A74" s="13"/>
      <c r="B74" s="18"/>
      <c r="C74" s="13"/>
      <c r="D74" s="20" t="str">
        <f aca="false">IF(A74="","",SUMIFS(Quotes!$E$2:$E$301,Quotes!$B$2:$B$301,A74,Quotes!$C$2:$C$301,C74))</f>
        <v/>
      </c>
      <c r="E74" s="20" t="str">
        <f aca="false">IF(A74="","",IF(D74&lt;500,25,IF(D74&lt;=1500,75,199)))</f>
        <v/>
      </c>
      <c r="F74" s="15" t="str">
        <f aca="false">IF(B74="","",INT((B74-Settings!$B$2)/7)+1)</f>
        <v/>
      </c>
      <c r="G74" s="15" t="str">
        <f aca="false">IF(F74="","",F74&gt;=Settings!$B$5)</f>
        <v/>
      </c>
      <c r="H74" s="13"/>
      <c r="I74" s="13"/>
      <c r="J74" s="15" t="str">
        <f aca="false">IF(A74="","",IFERROR(INDEX(Requests!$E$2:$E$301,MATCH(A74,Requests!$A$2:$A$301,0)),FALSE()))</f>
        <v/>
      </c>
      <c r="K74" s="15" t="str">
        <f aca="false">IF(A74="","",IF(AND(H74="Y",COUNTIFS($C$2:C74,C74,$H$2:H74,"Y")=1),1,0))</f>
        <v/>
      </c>
      <c r="L74" s="8"/>
      <c r="M74" s="8"/>
    </row>
    <row r="75" customFormat="false" ht="15" hidden="false" customHeight="false" outlineLevel="0" collapsed="false">
      <c r="A75" s="13"/>
      <c r="B75" s="18"/>
      <c r="C75" s="13"/>
      <c r="D75" s="20" t="str">
        <f aca="false">IF(A75="","",SUMIFS(Quotes!$E$2:$E$301,Quotes!$B$2:$B$301,A75,Quotes!$C$2:$C$301,C75))</f>
        <v/>
      </c>
      <c r="E75" s="20" t="str">
        <f aca="false">IF(A75="","",IF(D75&lt;500,25,IF(D75&lt;=1500,75,199)))</f>
        <v/>
      </c>
      <c r="F75" s="15" t="str">
        <f aca="false">IF(B75="","",INT((B75-Settings!$B$2)/7)+1)</f>
        <v/>
      </c>
      <c r="G75" s="15" t="str">
        <f aca="false">IF(F75="","",F75&gt;=Settings!$B$5)</f>
        <v/>
      </c>
      <c r="H75" s="13"/>
      <c r="I75" s="13"/>
      <c r="J75" s="15" t="str">
        <f aca="false">IF(A75="","",IFERROR(INDEX(Requests!$E$2:$E$301,MATCH(A75,Requests!$A$2:$A$301,0)),FALSE()))</f>
        <v/>
      </c>
      <c r="K75" s="15" t="str">
        <f aca="false">IF(A75="","",IF(AND(H75="Y",COUNTIFS($C$2:C75,C75,$H$2:H75,"Y")=1),1,0))</f>
        <v/>
      </c>
      <c r="L75" s="8"/>
      <c r="M75" s="8"/>
    </row>
    <row r="76" customFormat="false" ht="15" hidden="false" customHeight="false" outlineLevel="0" collapsed="false">
      <c r="A76" s="13"/>
      <c r="B76" s="18"/>
      <c r="C76" s="13"/>
      <c r="D76" s="20" t="str">
        <f aca="false">IF(A76="","",SUMIFS(Quotes!$E$2:$E$301,Quotes!$B$2:$B$301,A76,Quotes!$C$2:$C$301,C76))</f>
        <v/>
      </c>
      <c r="E76" s="20" t="str">
        <f aca="false">IF(A76="","",IF(D76&lt;500,25,IF(D76&lt;=1500,75,199)))</f>
        <v/>
      </c>
      <c r="F76" s="15" t="str">
        <f aca="false">IF(B76="","",INT((B76-Settings!$B$2)/7)+1)</f>
        <v/>
      </c>
      <c r="G76" s="15" t="str">
        <f aca="false">IF(F76="","",F76&gt;=Settings!$B$5)</f>
        <v/>
      </c>
      <c r="H76" s="13"/>
      <c r="I76" s="13"/>
      <c r="J76" s="15" t="str">
        <f aca="false">IF(A76="","",IFERROR(INDEX(Requests!$E$2:$E$301,MATCH(A76,Requests!$A$2:$A$301,0)),FALSE()))</f>
        <v/>
      </c>
      <c r="K76" s="15" t="str">
        <f aca="false">IF(A76="","",IF(AND(H76="Y",COUNTIFS($C$2:C76,C76,$H$2:H76,"Y")=1),1,0))</f>
        <v/>
      </c>
      <c r="L76" s="8"/>
      <c r="M76" s="8"/>
    </row>
    <row r="77" customFormat="false" ht="15" hidden="false" customHeight="false" outlineLevel="0" collapsed="false">
      <c r="A77" s="13"/>
      <c r="B77" s="18"/>
      <c r="C77" s="13"/>
      <c r="D77" s="20" t="str">
        <f aca="false">IF(A77="","",SUMIFS(Quotes!$E$2:$E$301,Quotes!$B$2:$B$301,A77,Quotes!$C$2:$C$301,C77))</f>
        <v/>
      </c>
      <c r="E77" s="20" t="str">
        <f aca="false">IF(A77="","",IF(D77&lt;500,25,IF(D77&lt;=1500,75,199)))</f>
        <v/>
      </c>
      <c r="F77" s="15" t="str">
        <f aca="false">IF(B77="","",INT((B77-Settings!$B$2)/7)+1)</f>
        <v/>
      </c>
      <c r="G77" s="15" t="str">
        <f aca="false">IF(F77="","",F77&gt;=Settings!$B$5)</f>
        <v/>
      </c>
      <c r="H77" s="13"/>
      <c r="I77" s="13"/>
      <c r="J77" s="15" t="str">
        <f aca="false">IF(A77="","",IFERROR(INDEX(Requests!$E$2:$E$301,MATCH(A77,Requests!$A$2:$A$301,0)),FALSE()))</f>
        <v/>
      </c>
      <c r="K77" s="15" t="str">
        <f aca="false">IF(A77="","",IF(AND(H77="Y",COUNTIFS($C$2:C77,C77,$H$2:H77,"Y")=1),1,0))</f>
        <v/>
      </c>
      <c r="L77" s="8"/>
      <c r="M77" s="8"/>
    </row>
    <row r="78" customFormat="false" ht="15" hidden="false" customHeight="false" outlineLevel="0" collapsed="false">
      <c r="A78" s="13"/>
      <c r="B78" s="18"/>
      <c r="C78" s="13"/>
      <c r="D78" s="20" t="str">
        <f aca="false">IF(A78="","",SUMIFS(Quotes!$E$2:$E$301,Quotes!$B$2:$B$301,A78,Quotes!$C$2:$C$301,C78))</f>
        <v/>
      </c>
      <c r="E78" s="20" t="str">
        <f aca="false">IF(A78="","",IF(D78&lt;500,25,IF(D78&lt;=1500,75,199)))</f>
        <v/>
      </c>
      <c r="F78" s="15" t="str">
        <f aca="false">IF(B78="","",INT((B78-Settings!$B$2)/7)+1)</f>
        <v/>
      </c>
      <c r="G78" s="15" t="str">
        <f aca="false">IF(F78="","",F78&gt;=Settings!$B$5)</f>
        <v/>
      </c>
      <c r="H78" s="13"/>
      <c r="I78" s="13"/>
      <c r="J78" s="15" t="str">
        <f aca="false">IF(A78="","",IFERROR(INDEX(Requests!$E$2:$E$301,MATCH(A78,Requests!$A$2:$A$301,0)),FALSE()))</f>
        <v/>
      </c>
      <c r="K78" s="15" t="str">
        <f aca="false">IF(A78="","",IF(AND(H78="Y",COUNTIFS($C$2:C78,C78,$H$2:H78,"Y")=1),1,0))</f>
        <v/>
      </c>
      <c r="L78" s="8"/>
      <c r="M78" s="8"/>
    </row>
    <row r="79" customFormat="false" ht="15" hidden="false" customHeight="false" outlineLevel="0" collapsed="false">
      <c r="A79" s="13"/>
      <c r="B79" s="18"/>
      <c r="C79" s="13"/>
      <c r="D79" s="20" t="str">
        <f aca="false">IF(A79="","",SUMIFS(Quotes!$E$2:$E$301,Quotes!$B$2:$B$301,A79,Quotes!$C$2:$C$301,C79))</f>
        <v/>
      </c>
      <c r="E79" s="20" t="str">
        <f aca="false">IF(A79="","",IF(D79&lt;500,25,IF(D79&lt;=1500,75,199)))</f>
        <v/>
      </c>
      <c r="F79" s="15" t="str">
        <f aca="false">IF(B79="","",INT((B79-Settings!$B$2)/7)+1)</f>
        <v/>
      </c>
      <c r="G79" s="15" t="str">
        <f aca="false">IF(F79="","",F79&gt;=Settings!$B$5)</f>
        <v/>
      </c>
      <c r="H79" s="13"/>
      <c r="I79" s="13"/>
      <c r="J79" s="15" t="str">
        <f aca="false">IF(A79="","",IFERROR(INDEX(Requests!$E$2:$E$301,MATCH(A79,Requests!$A$2:$A$301,0)),FALSE()))</f>
        <v/>
      </c>
      <c r="K79" s="15" t="str">
        <f aca="false">IF(A79="","",IF(AND(H79="Y",COUNTIFS($C$2:C79,C79,$H$2:H79,"Y")=1),1,0))</f>
        <v/>
      </c>
      <c r="L79" s="8"/>
      <c r="M79" s="8"/>
    </row>
    <row r="80" customFormat="false" ht="15" hidden="false" customHeight="false" outlineLevel="0" collapsed="false">
      <c r="A80" s="13"/>
      <c r="B80" s="18"/>
      <c r="C80" s="13"/>
      <c r="D80" s="20" t="str">
        <f aca="false">IF(A80="","",SUMIFS(Quotes!$E$2:$E$301,Quotes!$B$2:$B$301,A80,Quotes!$C$2:$C$301,C80))</f>
        <v/>
      </c>
      <c r="E80" s="20" t="str">
        <f aca="false">IF(A80="","",IF(D80&lt;500,25,IF(D80&lt;=1500,75,199)))</f>
        <v/>
      </c>
      <c r="F80" s="15" t="str">
        <f aca="false">IF(B80="","",INT((B80-Settings!$B$2)/7)+1)</f>
        <v/>
      </c>
      <c r="G80" s="15" t="str">
        <f aca="false">IF(F80="","",F80&gt;=Settings!$B$5)</f>
        <v/>
      </c>
      <c r="H80" s="13"/>
      <c r="I80" s="13"/>
      <c r="J80" s="15" t="str">
        <f aca="false">IF(A80="","",IFERROR(INDEX(Requests!$E$2:$E$301,MATCH(A80,Requests!$A$2:$A$301,0)),FALSE()))</f>
        <v/>
      </c>
      <c r="K80" s="15" t="str">
        <f aca="false">IF(A80="","",IF(AND(H80="Y",COUNTIFS($C$2:C80,C80,$H$2:H80,"Y")=1),1,0))</f>
        <v/>
      </c>
      <c r="L80" s="8"/>
      <c r="M80" s="8"/>
    </row>
    <row r="81" customFormat="false" ht="15" hidden="false" customHeight="false" outlineLevel="0" collapsed="false">
      <c r="A81" s="13"/>
      <c r="B81" s="18"/>
      <c r="C81" s="13"/>
      <c r="D81" s="20" t="str">
        <f aca="false">IF(A81="","",SUMIFS(Quotes!$E$2:$E$301,Quotes!$B$2:$B$301,A81,Quotes!$C$2:$C$301,C81))</f>
        <v/>
      </c>
      <c r="E81" s="20" t="str">
        <f aca="false">IF(A81="","",IF(D81&lt;500,25,IF(D81&lt;=1500,75,199)))</f>
        <v/>
      </c>
      <c r="F81" s="15" t="str">
        <f aca="false">IF(B81="","",INT((B81-Settings!$B$2)/7)+1)</f>
        <v/>
      </c>
      <c r="G81" s="15" t="str">
        <f aca="false">IF(F81="","",F81&gt;=Settings!$B$5)</f>
        <v/>
      </c>
      <c r="H81" s="13"/>
      <c r="I81" s="13"/>
      <c r="J81" s="15" t="str">
        <f aca="false">IF(A81="","",IFERROR(INDEX(Requests!$E$2:$E$301,MATCH(A81,Requests!$A$2:$A$301,0)),FALSE()))</f>
        <v/>
      </c>
      <c r="K81" s="15" t="str">
        <f aca="false">IF(A81="","",IF(AND(H81="Y",COUNTIFS($C$2:C81,C81,$H$2:H81,"Y")=1),1,0))</f>
        <v/>
      </c>
      <c r="L81" s="8"/>
      <c r="M81" s="8"/>
    </row>
    <row r="82" customFormat="false" ht="15" hidden="false" customHeight="false" outlineLevel="0" collapsed="false">
      <c r="A82" s="13"/>
      <c r="B82" s="18"/>
      <c r="C82" s="13"/>
      <c r="D82" s="20" t="str">
        <f aca="false">IF(A82="","",SUMIFS(Quotes!$E$2:$E$301,Quotes!$B$2:$B$301,A82,Quotes!$C$2:$C$301,C82))</f>
        <v/>
      </c>
      <c r="E82" s="20" t="str">
        <f aca="false">IF(A82="","",IF(D82&lt;500,25,IF(D82&lt;=1500,75,199)))</f>
        <v/>
      </c>
      <c r="F82" s="15" t="str">
        <f aca="false">IF(B82="","",INT((B82-Settings!$B$2)/7)+1)</f>
        <v/>
      </c>
      <c r="G82" s="15" t="str">
        <f aca="false">IF(F82="","",F82&gt;=Settings!$B$5)</f>
        <v/>
      </c>
      <c r="H82" s="13"/>
      <c r="I82" s="13"/>
      <c r="J82" s="15" t="str">
        <f aca="false">IF(A82="","",IFERROR(INDEX(Requests!$E$2:$E$301,MATCH(A82,Requests!$A$2:$A$301,0)),FALSE()))</f>
        <v/>
      </c>
      <c r="K82" s="15" t="str">
        <f aca="false">IF(A82="","",IF(AND(H82="Y",COUNTIFS($C$2:C82,C82,$H$2:H82,"Y")=1),1,0))</f>
        <v/>
      </c>
      <c r="L82" s="8"/>
      <c r="M82" s="8"/>
    </row>
    <row r="83" customFormat="false" ht="15" hidden="false" customHeight="false" outlineLevel="0" collapsed="false">
      <c r="A83" s="13"/>
      <c r="B83" s="18"/>
      <c r="C83" s="13"/>
      <c r="D83" s="20" t="str">
        <f aca="false">IF(A83="","",SUMIFS(Quotes!$E$2:$E$301,Quotes!$B$2:$B$301,A83,Quotes!$C$2:$C$301,C83))</f>
        <v/>
      </c>
      <c r="E83" s="20" t="str">
        <f aca="false">IF(A83="","",IF(D83&lt;500,25,IF(D83&lt;=1500,75,199)))</f>
        <v/>
      </c>
      <c r="F83" s="15" t="str">
        <f aca="false">IF(B83="","",INT((B83-Settings!$B$2)/7)+1)</f>
        <v/>
      </c>
      <c r="G83" s="15" t="str">
        <f aca="false">IF(F83="","",F83&gt;=Settings!$B$5)</f>
        <v/>
      </c>
      <c r="H83" s="13"/>
      <c r="I83" s="13"/>
      <c r="J83" s="15" t="str">
        <f aca="false">IF(A83="","",IFERROR(INDEX(Requests!$E$2:$E$301,MATCH(A83,Requests!$A$2:$A$301,0)),FALSE()))</f>
        <v/>
      </c>
      <c r="K83" s="15" t="str">
        <f aca="false">IF(A83="","",IF(AND(H83="Y",COUNTIFS($C$2:C83,C83,$H$2:H83,"Y")=1),1,0))</f>
        <v/>
      </c>
      <c r="L83" s="8"/>
      <c r="M83" s="8"/>
    </row>
    <row r="84" customFormat="false" ht="15" hidden="false" customHeight="false" outlineLevel="0" collapsed="false">
      <c r="A84" s="13"/>
      <c r="B84" s="18"/>
      <c r="C84" s="13"/>
      <c r="D84" s="20" t="str">
        <f aca="false">IF(A84="","",SUMIFS(Quotes!$E$2:$E$301,Quotes!$B$2:$B$301,A84,Quotes!$C$2:$C$301,C84))</f>
        <v/>
      </c>
      <c r="E84" s="20" t="str">
        <f aca="false">IF(A84="","",IF(D84&lt;500,25,IF(D84&lt;=1500,75,199)))</f>
        <v/>
      </c>
      <c r="F84" s="15" t="str">
        <f aca="false">IF(B84="","",INT((B84-Settings!$B$2)/7)+1)</f>
        <v/>
      </c>
      <c r="G84" s="15" t="str">
        <f aca="false">IF(F84="","",F84&gt;=Settings!$B$5)</f>
        <v/>
      </c>
      <c r="H84" s="13"/>
      <c r="I84" s="13"/>
      <c r="J84" s="15" t="str">
        <f aca="false">IF(A84="","",IFERROR(INDEX(Requests!$E$2:$E$301,MATCH(A84,Requests!$A$2:$A$301,0)),FALSE()))</f>
        <v/>
      </c>
      <c r="K84" s="15" t="str">
        <f aca="false">IF(A84="","",IF(AND(H84="Y",COUNTIFS($C$2:C84,C84,$H$2:H84,"Y")=1),1,0))</f>
        <v/>
      </c>
      <c r="L84" s="8"/>
      <c r="M84" s="8"/>
    </row>
    <row r="85" customFormat="false" ht="15" hidden="false" customHeight="false" outlineLevel="0" collapsed="false">
      <c r="A85" s="13"/>
      <c r="B85" s="18"/>
      <c r="C85" s="13"/>
      <c r="D85" s="20" t="str">
        <f aca="false">IF(A85="","",SUMIFS(Quotes!$E$2:$E$301,Quotes!$B$2:$B$301,A85,Quotes!$C$2:$C$301,C85))</f>
        <v/>
      </c>
      <c r="E85" s="20" t="str">
        <f aca="false">IF(A85="","",IF(D85&lt;500,25,IF(D85&lt;=1500,75,199)))</f>
        <v/>
      </c>
      <c r="F85" s="15" t="str">
        <f aca="false">IF(B85="","",INT((B85-Settings!$B$2)/7)+1)</f>
        <v/>
      </c>
      <c r="G85" s="15" t="str">
        <f aca="false">IF(F85="","",F85&gt;=Settings!$B$5)</f>
        <v/>
      </c>
      <c r="H85" s="13"/>
      <c r="I85" s="13"/>
      <c r="J85" s="15" t="str">
        <f aca="false">IF(A85="","",IFERROR(INDEX(Requests!$E$2:$E$301,MATCH(A85,Requests!$A$2:$A$301,0)),FALSE()))</f>
        <v/>
      </c>
      <c r="K85" s="15" t="str">
        <f aca="false">IF(A85="","",IF(AND(H85="Y",COUNTIFS($C$2:C85,C85,$H$2:H85,"Y")=1),1,0))</f>
        <v/>
      </c>
      <c r="L85" s="8"/>
      <c r="M85" s="8"/>
    </row>
    <row r="86" customFormat="false" ht="15" hidden="false" customHeight="false" outlineLevel="0" collapsed="false">
      <c r="A86" s="13"/>
      <c r="B86" s="18"/>
      <c r="C86" s="13"/>
      <c r="D86" s="20" t="str">
        <f aca="false">IF(A86="","",SUMIFS(Quotes!$E$2:$E$301,Quotes!$B$2:$B$301,A86,Quotes!$C$2:$C$301,C86))</f>
        <v/>
      </c>
      <c r="E86" s="20" t="str">
        <f aca="false">IF(A86="","",IF(D86&lt;500,25,IF(D86&lt;=1500,75,199)))</f>
        <v/>
      </c>
      <c r="F86" s="15" t="str">
        <f aca="false">IF(B86="","",INT((B86-Settings!$B$2)/7)+1)</f>
        <v/>
      </c>
      <c r="G86" s="15" t="str">
        <f aca="false">IF(F86="","",F86&gt;=Settings!$B$5)</f>
        <v/>
      </c>
      <c r="H86" s="13"/>
      <c r="I86" s="13"/>
      <c r="J86" s="15" t="str">
        <f aca="false">IF(A86="","",IFERROR(INDEX(Requests!$E$2:$E$301,MATCH(A86,Requests!$A$2:$A$301,0)),FALSE()))</f>
        <v/>
      </c>
      <c r="K86" s="15" t="str">
        <f aca="false">IF(A86="","",IF(AND(H86="Y",COUNTIFS($C$2:C86,C86,$H$2:H86,"Y")=1),1,0))</f>
        <v/>
      </c>
      <c r="L86" s="8"/>
      <c r="M86" s="8"/>
    </row>
    <row r="87" customFormat="false" ht="15" hidden="false" customHeight="false" outlineLevel="0" collapsed="false">
      <c r="A87" s="13"/>
      <c r="B87" s="18"/>
      <c r="C87" s="13"/>
      <c r="D87" s="20" t="str">
        <f aca="false">IF(A87="","",SUMIFS(Quotes!$E$2:$E$301,Quotes!$B$2:$B$301,A87,Quotes!$C$2:$C$301,C87))</f>
        <v/>
      </c>
      <c r="E87" s="20" t="str">
        <f aca="false">IF(A87="","",IF(D87&lt;500,25,IF(D87&lt;=1500,75,199)))</f>
        <v/>
      </c>
      <c r="F87" s="15" t="str">
        <f aca="false">IF(B87="","",INT((B87-Settings!$B$2)/7)+1)</f>
        <v/>
      </c>
      <c r="G87" s="15" t="str">
        <f aca="false">IF(F87="","",F87&gt;=Settings!$B$5)</f>
        <v/>
      </c>
      <c r="H87" s="13"/>
      <c r="I87" s="13"/>
      <c r="J87" s="15" t="str">
        <f aca="false">IF(A87="","",IFERROR(INDEX(Requests!$E$2:$E$301,MATCH(A87,Requests!$A$2:$A$301,0)),FALSE()))</f>
        <v/>
      </c>
      <c r="K87" s="15" t="str">
        <f aca="false">IF(A87="","",IF(AND(H87="Y",COUNTIFS($C$2:C87,C87,$H$2:H87,"Y")=1),1,0))</f>
        <v/>
      </c>
      <c r="L87" s="8"/>
      <c r="M87" s="8"/>
    </row>
    <row r="88" customFormat="false" ht="15" hidden="false" customHeight="false" outlineLevel="0" collapsed="false">
      <c r="A88" s="13"/>
      <c r="B88" s="18"/>
      <c r="C88" s="13"/>
      <c r="D88" s="20" t="str">
        <f aca="false">IF(A88="","",SUMIFS(Quotes!$E$2:$E$301,Quotes!$B$2:$B$301,A88,Quotes!$C$2:$C$301,C88))</f>
        <v/>
      </c>
      <c r="E88" s="20" t="str">
        <f aca="false">IF(A88="","",IF(D88&lt;500,25,IF(D88&lt;=1500,75,199)))</f>
        <v/>
      </c>
      <c r="F88" s="15" t="str">
        <f aca="false">IF(B88="","",INT((B88-Settings!$B$2)/7)+1)</f>
        <v/>
      </c>
      <c r="G88" s="15" t="str">
        <f aca="false">IF(F88="","",F88&gt;=Settings!$B$5)</f>
        <v/>
      </c>
      <c r="H88" s="13"/>
      <c r="I88" s="13"/>
      <c r="J88" s="15" t="str">
        <f aca="false">IF(A88="","",IFERROR(INDEX(Requests!$E$2:$E$301,MATCH(A88,Requests!$A$2:$A$301,0)),FALSE()))</f>
        <v/>
      </c>
      <c r="K88" s="15" t="str">
        <f aca="false">IF(A88="","",IF(AND(H88="Y",COUNTIFS($C$2:C88,C88,$H$2:H88,"Y")=1),1,0))</f>
        <v/>
      </c>
      <c r="L88" s="8"/>
      <c r="M88" s="8"/>
    </row>
    <row r="89" customFormat="false" ht="15" hidden="false" customHeight="false" outlineLevel="0" collapsed="false">
      <c r="A89" s="13"/>
      <c r="B89" s="18"/>
      <c r="C89" s="13"/>
      <c r="D89" s="20" t="str">
        <f aca="false">IF(A89="","",SUMIFS(Quotes!$E$2:$E$301,Quotes!$B$2:$B$301,A89,Quotes!$C$2:$C$301,C89))</f>
        <v/>
      </c>
      <c r="E89" s="20" t="str">
        <f aca="false">IF(A89="","",IF(D89&lt;500,25,IF(D89&lt;=1500,75,199)))</f>
        <v/>
      </c>
      <c r="F89" s="15" t="str">
        <f aca="false">IF(B89="","",INT((B89-Settings!$B$2)/7)+1)</f>
        <v/>
      </c>
      <c r="G89" s="15" t="str">
        <f aca="false">IF(F89="","",F89&gt;=Settings!$B$5)</f>
        <v/>
      </c>
      <c r="H89" s="13"/>
      <c r="I89" s="13"/>
      <c r="J89" s="15" t="str">
        <f aca="false">IF(A89="","",IFERROR(INDEX(Requests!$E$2:$E$301,MATCH(A89,Requests!$A$2:$A$301,0)),FALSE()))</f>
        <v/>
      </c>
      <c r="K89" s="15" t="str">
        <f aca="false">IF(A89="","",IF(AND(H89="Y",COUNTIFS($C$2:C89,C89,$H$2:H89,"Y")=1),1,0))</f>
        <v/>
      </c>
      <c r="L89" s="8"/>
      <c r="M89" s="8"/>
    </row>
    <row r="90" customFormat="false" ht="15" hidden="false" customHeight="false" outlineLevel="0" collapsed="false">
      <c r="A90" s="13"/>
      <c r="B90" s="18"/>
      <c r="C90" s="13"/>
      <c r="D90" s="20" t="str">
        <f aca="false">IF(A90="","",SUMIFS(Quotes!$E$2:$E$301,Quotes!$B$2:$B$301,A90,Quotes!$C$2:$C$301,C90))</f>
        <v/>
      </c>
      <c r="E90" s="20" t="str">
        <f aca="false">IF(A90="","",IF(D90&lt;500,25,IF(D90&lt;=1500,75,199)))</f>
        <v/>
      </c>
      <c r="F90" s="15" t="str">
        <f aca="false">IF(B90="","",INT((B90-Settings!$B$2)/7)+1)</f>
        <v/>
      </c>
      <c r="G90" s="15" t="str">
        <f aca="false">IF(F90="","",F90&gt;=Settings!$B$5)</f>
        <v/>
      </c>
      <c r="H90" s="13"/>
      <c r="I90" s="13"/>
      <c r="J90" s="15" t="str">
        <f aca="false">IF(A90="","",IFERROR(INDEX(Requests!$E$2:$E$301,MATCH(A90,Requests!$A$2:$A$301,0)),FALSE()))</f>
        <v/>
      </c>
      <c r="K90" s="15" t="str">
        <f aca="false">IF(A90="","",IF(AND(H90="Y",COUNTIFS($C$2:C90,C90,$H$2:H90,"Y")=1),1,0))</f>
        <v/>
      </c>
      <c r="L90" s="8"/>
      <c r="M90" s="8"/>
    </row>
    <row r="91" customFormat="false" ht="15" hidden="false" customHeight="false" outlineLevel="0" collapsed="false">
      <c r="A91" s="13"/>
      <c r="B91" s="18"/>
      <c r="C91" s="13"/>
      <c r="D91" s="20" t="str">
        <f aca="false">IF(A91="","",SUMIFS(Quotes!$E$2:$E$301,Quotes!$B$2:$B$301,A91,Quotes!$C$2:$C$301,C91))</f>
        <v/>
      </c>
      <c r="E91" s="20" t="str">
        <f aca="false">IF(A91="","",IF(D91&lt;500,25,IF(D91&lt;=1500,75,199)))</f>
        <v/>
      </c>
      <c r="F91" s="15" t="str">
        <f aca="false">IF(B91="","",INT((B91-Settings!$B$2)/7)+1)</f>
        <v/>
      </c>
      <c r="G91" s="15" t="str">
        <f aca="false">IF(F91="","",F91&gt;=Settings!$B$5)</f>
        <v/>
      </c>
      <c r="H91" s="13"/>
      <c r="I91" s="13"/>
      <c r="J91" s="15" t="str">
        <f aca="false">IF(A91="","",IFERROR(INDEX(Requests!$E$2:$E$301,MATCH(A91,Requests!$A$2:$A$301,0)),FALSE()))</f>
        <v/>
      </c>
      <c r="K91" s="15" t="str">
        <f aca="false">IF(A91="","",IF(AND(H91="Y",COUNTIFS($C$2:C91,C91,$H$2:H91,"Y")=1),1,0))</f>
        <v/>
      </c>
      <c r="L91" s="8"/>
      <c r="M91" s="8"/>
    </row>
    <row r="92" customFormat="false" ht="15" hidden="false" customHeight="false" outlineLevel="0" collapsed="false">
      <c r="A92" s="13"/>
      <c r="B92" s="18"/>
      <c r="C92" s="13"/>
      <c r="D92" s="20" t="str">
        <f aca="false">IF(A92="","",SUMIFS(Quotes!$E$2:$E$301,Quotes!$B$2:$B$301,A92,Quotes!$C$2:$C$301,C92))</f>
        <v/>
      </c>
      <c r="E92" s="20" t="str">
        <f aca="false">IF(A92="","",IF(D92&lt;500,25,IF(D92&lt;=1500,75,199)))</f>
        <v/>
      </c>
      <c r="F92" s="15" t="str">
        <f aca="false">IF(B92="","",INT((B92-Settings!$B$2)/7)+1)</f>
        <v/>
      </c>
      <c r="G92" s="15" t="str">
        <f aca="false">IF(F92="","",F92&gt;=Settings!$B$5)</f>
        <v/>
      </c>
      <c r="H92" s="13"/>
      <c r="I92" s="13"/>
      <c r="J92" s="15" t="str">
        <f aca="false">IF(A92="","",IFERROR(INDEX(Requests!$E$2:$E$301,MATCH(A92,Requests!$A$2:$A$301,0)),FALSE()))</f>
        <v/>
      </c>
      <c r="K92" s="15" t="str">
        <f aca="false">IF(A92="","",IF(AND(H92="Y",COUNTIFS($C$2:C92,C92,$H$2:H92,"Y")=1),1,0))</f>
        <v/>
      </c>
      <c r="L92" s="8"/>
      <c r="M92" s="8"/>
    </row>
    <row r="93" customFormat="false" ht="15" hidden="false" customHeight="false" outlineLevel="0" collapsed="false">
      <c r="A93" s="13"/>
      <c r="B93" s="18"/>
      <c r="C93" s="13"/>
      <c r="D93" s="20" t="str">
        <f aca="false">IF(A93="","",SUMIFS(Quotes!$E$2:$E$301,Quotes!$B$2:$B$301,A93,Quotes!$C$2:$C$301,C93))</f>
        <v/>
      </c>
      <c r="E93" s="20" t="str">
        <f aca="false">IF(A93="","",IF(D93&lt;500,25,IF(D93&lt;=1500,75,199)))</f>
        <v/>
      </c>
      <c r="F93" s="15" t="str">
        <f aca="false">IF(B93="","",INT((B93-Settings!$B$2)/7)+1)</f>
        <v/>
      </c>
      <c r="G93" s="15" t="str">
        <f aca="false">IF(F93="","",F93&gt;=Settings!$B$5)</f>
        <v/>
      </c>
      <c r="H93" s="13"/>
      <c r="I93" s="13"/>
      <c r="J93" s="15" t="str">
        <f aca="false">IF(A93="","",IFERROR(INDEX(Requests!$E$2:$E$301,MATCH(A93,Requests!$A$2:$A$301,0)),FALSE()))</f>
        <v/>
      </c>
      <c r="K93" s="15" t="str">
        <f aca="false">IF(A93="","",IF(AND(H93="Y",COUNTIFS($C$2:C93,C93,$H$2:H93,"Y")=1),1,0))</f>
        <v/>
      </c>
      <c r="L93" s="8"/>
      <c r="M93" s="8"/>
    </row>
    <row r="94" customFormat="false" ht="15" hidden="false" customHeight="false" outlineLevel="0" collapsed="false">
      <c r="A94" s="13"/>
      <c r="B94" s="18"/>
      <c r="C94" s="13"/>
      <c r="D94" s="20" t="str">
        <f aca="false">IF(A94="","",SUMIFS(Quotes!$E$2:$E$301,Quotes!$B$2:$B$301,A94,Quotes!$C$2:$C$301,C94))</f>
        <v/>
      </c>
      <c r="E94" s="20" t="str">
        <f aca="false">IF(A94="","",IF(D94&lt;500,25,IF(D94&lt;=1500,75,199)))</f>
        <v/>
      </c>
      <c r="F94" s="15" t="str">
        <f aca="false">IF(B94="","",INT((B94-Settings!$B$2)/7)+1)</f>
        <v/>
      </c>
      <c r="G94" s="15" t="str">
        <f aca="false">IF(F94="","",F94&gt;=Settings!$B$5)</f>
        <v/>
      </c>
      <c r="H94" s="13"/>
      <c r="I94" s="13"/>
      <c r="J94" s="15" t="str">
        <f aca="false">IF(A94="","",IFERROR(INDEX(Requests!$E$2:$E$301,MATCH(A94,Requests!$A$2:$A$301,0)),FALSE()))</f>
        <v/>
      </c>
      <c r="K94" s="15" t="str">
        <f aca="false">IF(A94="","",IF(AND(H94="Y",COUNTIFS($C$2:C94,C94,$H$2:H94,"Y")=1),1,0))</f>
        <v/>
      </c>
      <c r="L94" s="8"/>
      <c r="M94" s="8"/>
    </row>
    <row r="95" customFormat="false" ht="15" hidden="false" customHeight="false" outlineLevel="0" collapsed="false">
      <c r="A95" s="13"/>
      <c r="B95" s="18"/>
      <c r="C95" s="13"/>
      <c r="D95" s="20" t="str">
        <f aca="false">IF(A95="","",SUMIFS(Quotes!$E$2:$E$301,Quotes!$B$2:$B$301,A95,Quotes!$C$2:$C$301,C95))</f>
        <v/>
      </c>
      <c r="E95" s="20" t="str">
        <f aca="false">IF(A95="","",IF(D95&lt;500,25,IF(D95&lt;=1500,75,199)))</f>
        <v/>
      </c>
      <c r="F95" s="15" t="str">
        <f aca="false">IF(B95="","",INT((B95-Settings!$B$2)/7)+1)</f>
        <v/>
      </c>
      <c r="G95" s="15" t="str">
        <f aca="false">IF(F95="","",F95&gt;=Settings!$B$5)</f>
        <v/>
      </c>
      <c r="H95" s="13"/>
      <c r="I95" s="13"/>
      <c r="J95" s="15" t="str">
        <f aca="false">IF(A95="","",IFERROR(INDEX(Requests!$E$2:$E$301,MATCH(A95,Requests!$A$2:$A$301,0)),FALSE()))</f>
        <v/>
      </c>
      <c r="K95" s="15" t="str">
        <f aca="false">IF(A95="","",IF(AND(H95="Y",COUNTIFS($C$2:C95,C95,$H$2:H95,"Y")=1),1,0))</f>
        <v/>
      </c>
      <c r="L95" s="8"/>
      <c r="M95" s="8"/>
    </row>
    <row r="96" customFormat="false" ht="15" hidden="false" customHeight="false" outlineLevel="0" collapsed="false">
      <c r="A96" s="13"/>
      <c r="B96" s="18"/>
      <c r="C96" s="13"/>
      <c r="D96" s="20" t="str">
        <f aca="false">IF(A96="","",SUMIFS(Quotes!$E$2:$E$301,Quotes!$B$2:$B$301,A96,Quotes!$C$2:$C$301,C96))</f>
        <v/>
      </c>
      <c r="E96" s="20" t="str">
        <f aca="false">IF(A96="","",IF(D96&lt;500,25,IF(D96&lt;=1500,75,199)))</f>
        <v/>
      </c>
      <c r="F96" s="15" t="str">
        <f aca="false">IF(B96="","",INT((B96-Settings!$B$2)/7)+1)</f>
        <v/>
      </c>
      <c r="G96" s="15" t="str">
        <f aca="false">IF(F96="","",F96&gt;=Settings!$B$5)</f>
        <v/>
      </c>
      <c r="H96" s="13"/>
      <c r="I96" s="13"/>
      <c r="J96" s="15" t="str">
        <f aca="false">IF(A96="","",IFERROR(INDEX(Requests!$E$2:$E$301,MATCH(A96,Requests!$A$2:$A$301,0)),FALSE()))</f>
        <v/>
      </c>
      <c r="K96" s="15" t="str">
        <f aca="false">IF(A96="","",IF(AND(H96="Y",COUNTIFS($C$2:C96,C96,$H$2:H96,"Y")=1),1,0))</f>
        <v/>
      </c>
      <c r="L96" s="8"/>
      <c r="M96" s="8"/>
    </row>
    <row r="97" customFormat="false" ht="15" hidden="false" customHeight="false" outlineLevel="0" collapsed="false">
      <c r="A97" s="13"/>
      <c r="B97" s="18"/>
      <c r="C97" s="13"/>
      <c r="D97" s="20" t="str">
        <f aca="false">IF(A97="","",SUMIFS(Quotes!$E$2:$E$301,Quotes!$B$2:$B$301,A97,Quotes!$C$2:$C$301,C97))</f>
        <v/>
      </c>
      <c r="E97" s="20" t="str">
        <f aca="false">IF(A97="","",IF(D97&lt;500,25,IF(D97&lt;=1500,75,199)))</f>
        <v/>
      </c>
      <c r="F97" s="15" t="str">
        <f aca="false">IF(B97="","",INT((B97-Settings!$B$2)/7)+1)</f>
        <v/>
      </c>
      <c r="G97" s="15" t="str">
        <f aca="false">IF(F97="","",F97&gt;=Settings!$B$5)</f>
        <v/>
      </c>
      <c r="H97" s="13"/>
      <c r="I97" s="13"/>
      <c r="J97" s="15" t="str">
        <f aca="false">IF(A97="","",IFERROR(INDEX(Requests!$E$2:$E$301,MATCH(A97,Requests!$A$2:$A$301,0)),FALSE()))</f>
        <v/>
      </c>
      <c r="K97" s="15" t="str">
        <f aca="false">IF(A97="","",IF(AND(H97="Y",COUNTIFS($C$2:C97,C97,$H$2:H97,"Y")=1),1,0))</f>
        <v/>
      </c>
      <c r="L97" s="8"/>
      <c r="M97" s="8"/>
    </row>
    <row r="98" customFormat="false" ht="15" hidden="false" customHeight="false" outlineLevel="0" collapsed="false">
      <c r="A98" s="13"/>
      <c r="B98" s="18"/>
      <c r="C98" s="13"/>
      <c r="D98" s="20" t="str">
        <f aca="false">IF(A98="","",SUMIFS(Quotes!$E$2:$E$301,Quotes!$B$2:$B$301,A98,Quotes!$C$2:$C$301,C98))</f>
        <v/>
      </c>
      <c r="E98" s="20" t="str">
        <f aca="false">IF(A98="","",IF(D98&lt;500,25,IF(D98&lt;=1500,75,199)))</f>
        <v/>
      </c>
      <c r="F98" s="15" t="str">
        <f aca="false">IF(B98="","",INT((B98-Settings!$B$2)/7)+1)</f>
        <v/>
      </c>
      <c r="G98" s="15" t="str">
        <f aca="false">IF(F98="","",F98&gt;=Settings!$B$5)</f>
        <v/>
      </c>
      <c r="H98" s="13"/>
      <c r="I98" s="13"/>
      <c r="J98" s="15" t="str">
        <f aca="false">IF(A98="","",IFERROR(INDEX(Requests!$E$2:$E$301,MATCH(A98,Requests!$A$2:$A$301,0)),FALSE()))</f>
        <v/>
      </c>
      <c r="K98" s="15" t="str">
        <f aca="false">IF(A98="","",IF(AND(H98="Y",COUNTIFS($C$2:C98,C98,$H$2:H98,"Y")=1),1,0))</f>
        <v/>
      </c>
      <c r="L98" s="8"/>
      <c r="M98" s="8"/>
    </row>
    <row r="99" customFormat="false" ht="15" hidden="false" customHeight="false" outlineLevel="0" collapsed="false">
      <c r="A99" s="13"/>
      <c r="B99" s="18"/>
      <c r="C99" s="13"/>
      <c r="D99" s="20" t="str">
        <f aca="false">IF(A99="","",SUMIFS(Quotes!$E$2:$E$301,Quotes!$B$2:$B$301,A99,Quotes!$C$2:$C$301,C99))</f>
        <v/>
      </c>
      <c r="E99" s="20" t="str">
        <f aca="false">IF(A99="","",IF(D99&lt;500,25,IF(D99&lt;=1500,75,199)))</f>
        <v/>
      </c>
      <c r="F99" s="15" t="str">
        <f aca="false">IF(B99="","",INT((B99-Settings!$B$2)/7)+1)</f>
        <v/>
      </c>
      <c r="G99" s="15" t="str">
        <f aca="false">IF(F99="","",F99&gt;=Settings!$B$5)</f>
        <v/>
      </c>
      <c r="H99" s="13"/>
      <c r="I99" s="13"/>
      <c r="J99" s="15" t="str">
        <f aca="false">IF(A99="","",IFERROR(INDEX(Requests!$E$2:$E$301,MATCH(A99,Requests!$A$2:$A$301,0)),FALSE()))</f>
        <v/>
      </c>
      <c r="K99" s="15" t="str">
        <f aca="false">IF(A99="","",IF(AND(H99="Y",COUNTIFS($C$2:C99,C99,$H$2:H99,"Y")=1),1,0))</f>
        <v/>
      </c>
      <c r="L99" s="8"/>
      <c r="M99" s="8"/>
    </row>
    <row r="100" customFormat="false" ht="15" hidden="false" customHeight="false" outlineLevel="0" collapsed="false">
      <c r="A100" s="13"/>
      <c r="B100" s="18"/>
      <c r="C100" s="13"/>
      <c r="D100" s="20" t="str">
        <f aca="false">IF(A100="","",SUMIFS(Quotes!$E$2:$E$301,Quotes!$B$2:$B$301,A100,Quotes!$C$2:$C$301,C100))</f>
        <v/>
      </c>
      <c r="E100" s="20" t="str">
        <f aca="false">IF(A100="","",IF(D100&lt;500,25,IF(D100&lt;=1500,75,199)))</f>
        <v/>
      </c>
      <c r="F100" s="15" t="str">
        <f aca="false">IF(B100="","",INT((B100-Settings!$B$2)/7)+1)</f>
        <v/>
      </c>
      <c r="G100" s="15" t="str">
        <f aca="false">IF(F100="","",F100&gt;=Settings!$B$5)</f>
        <v/>
      </c>
      <c r="H100" s="13"/>
      <c r="I100" s="13"/>
      <c r="J100" s="15" t="str">
        <f aca="false">IF(A100="","",IFERROR(INDEX(Requests!$E$2:$E$301,MATCH(A100,Requests!$A$2:$A$301,0)),FALSE()))</f>
        <v/>
      </c>
      <c r="K100" s="15" t="str">
        <f aca="false">IF(A100="","",IF(AND(H100="Y",COUNTIFS($C$2:C100,C100,$H$2:H100,"Y")=1),1,0))</f>
        <v/>
      </c>
      <c r="L100" s="8"/>
      <c r="M100" s="8"/>
    </row>
    <row r="101" customFormat="false" ht="15" hidden="false" customHeight="false" outlineLevel="0" collapsed="false">
      <c r="A101" s="13"/>
      <c r="B101" s="18"/>
      <c r="C101" s="13"/>
      <c r="D101" s="20" t="str">
        <f aca="false">IF(A101="","",SUMIFS(Quotes!$E$2:$E$301,Quotes!$B$2:$B$301,A101,Quotes!$C$2:$C$301,C101))</f>
        <v/>
      </c>
      <c r="E101" s="20" t="str">
        <f aca="false">IF(A101="","",IF(D101&lt;500,25,IF(D101&lt;=1500,75,199)))</f>
        <v/>
      </c>
      <c r="F101" s="15" t="str">
        <f aca="false">IF(B101="","",INT((B101-Settings!$B$2)/7)+1)</f>
        <v/>
      </c>
      <c r="G101" s="15" t="str">
        <f aca="false">IF(F101="","",F101&gt;=Settings!$B$5)</f>
        <v/>
      </c>
      <c r="H101" s="13"/>
      <c r="I101" s="13"/>
      <c r="J101" s="15" t="str">
        <f aca="false">IF(A101="","",IFERROR(INDEX(Requests!$E$2:$E$301,MATCH(A101,Requests!$A$2:$A$301,0)),FALSE()))</f>
        <v/>
      </c>
      <c r="K101" s="15" t="str">
        <f aca="false">IF(A101="","",IF(AND(H101="Y",COUNTIFS($C$2:C101,C101,$H$2:H101,"Y")=1),1,0))</f>
        <v/>
      </c>
      <c r="L101" s="8"/>
      <c r="M101" s="8"/>
    </row>
    <row r="102" customFormat="false" ht="15" hidden="false" customHeight="false" outlineLevel="0" collapsed="false">
      <c r="A102" s="13"/>
      <c r="B102" s="18"/>
      <c r="C102" s="13"/>
      <c r="D102" s="20" t="str">
        <f aca="false">IF(A102="","",SUMIFS(Quotes!$E$2:$E$301,Quotes!$B$2:$B$301,A102,Quotes!$C$2:$C$301,C102))</f>
        <v/>
      </c>
      <c r="E102" s="20" t="str">
        <f aca="false">IF(A102="","",IF(D102&lt;500,25,IF(D102&lt;=1500,75,199)))</f>
        <v/>
      </c>
      <c r="F102" s="15" t="str">
        <f aca="false">IF(B102="","",INT((B102-Settings!$B$2)/7)+1)</f>
        <v/>
      </c>
      <c r="G102" s="15" t="str">
        <f aca="false">IF(F102="","",F102&gt;=Settings!$B$5)</f>
        <v/>
      </c>
      <c r="H102" s="13"/>
      <c r="I102" s="13"/>
      <c r="J102" s="15" t="str">
        <f aca="false">IF(A102="","",IFERROR(INDEX(Requests!$E$2:$E$301,MATCH(A102,Requests!$A$2:$A$301,0)),FALSE()))</f>
        <v/>
      </c>
      <c r="K102" s="15" t="str">
        <f aca="false">IF(A102="","",IF(AND(H102="Y",COUNTIFS($C$2:C102,C102,$H$2:H102,"Y")=1),1,0))</f>
        <v/>
      </c>
      <c r="L102" s="8"/>
      <c r="M102" s="8"/>
    </row>
    <row r="103" customFormat="false" ht="15" hidden="false" customHeight="false" outlineLevel="0" collapsed="false">
      <c r="A103" s="13"/>
      <c r="B103" s="18"/>
      <c r="C103" s="13"/>
      <c r="D103" s="20" t="str">
        <f aca="false">IF(A103="","",SUMIFS(Quotes!$E$2:$E$301,Quotes!$B$2:$B$301,A103,Quotes!$C$2:$C$301,C103))</f>
        <v/>
      </c>
      <c r="E103" s="20" t="str">
        <f aca="false">IF(A103="","",IF(D103&lt;500,25,IF(D103&lt;=1500,75,199)))</f>
        <v/>
      </c>
      <c r="F103" s="15" t="str">
        <f aca="false">IF(B103="","",INT((B103-Settings!$B$2)/7)+1)</f>
        <v/>
      </c>
      <c r="G103" s="15" t="str">
        <f aca="false">IF(F103="","",F103&gt;=Settings!$B$5)</f>
        <v/>
      </c>
      <c r="H103" s="13"/>
      <c r="I103" s="13"/>
      <c r="J103" s="15" t="str">
        <f aca="false">IF(A103="","",IFERROR(INDEX(Requests!$E$2:$E$301,MATCH(A103,Requests!$A$2:$A$301,0)),FALSE()))</f>
        <v/>
      </c>
      <c r="K103" s="15" t="str">
        <f aca="false">IF(A103="","",IF(AND(H103="Y",COUNTIFS($C$2:C103,C103,$H$2:H103,"Y")=1),1,0))</f>
        <v/>
      </c>
      <c r="L103" s="8"/>
      <c r="M103" s="8"/>
    </row>
    <row r="104" customFormat="false" ht="15" hidden="false" customHeight="false" outlineLevel="0" collapsed="false">
      <c r="A104" s="13"/>
      <c r="B104" s="18"/>
      <c r="C104" s="13"/>
      <c r="D104" s="20" t="str">
        <f aca="false">IF(A104="","",SUMIFS(Quotes!$E$2:$E$301,Quotes!$B$2:$B$301,A104,Quotes!$C$2:$C$301,C104))</f>
        <v/>
      </c>
      <c r="E104" s="20" t="str">
        <f aca="false">IF(A104="","",IF(D104&lt;500,25,IF(D104&lt;=1500,75,199)))</f>
        <v/>
      </c>
      <c r="F104" s="15" t="str">
        <f aca="false">IF(B104="","",INT((B104-Settings!$B$2)/7)+1)</f>
        <v/>
      </c>
      <c r="G104" s="15" t="str">
        <f aca="false">IF(F104="","",F104&gt;=Settings!$B$5)</f>
        <v/>
      </c>
      <c r="H104" s="13"/>
      <c r="I104" s="13"/>
      <c r="J104" s="15" t="str">
        <f aca="false">IF(A104="","",IFERROR(INDEX(Requests!$E$2:$E$301,MATCH(A104,Requests!$A$2:$A$301,0)),FALSE()))</f>
        <v/>
      </c>
      <c r="K104" s="15" t="str">
        <f aca="false">IF(A104="","",IF(AND(H104="Y",COUNTIFS($C$2:C104,C104,$H$2:H104,"Y")=1),1,0))</f>
        <v/>
      </c>
      <c r="L104" s="8"/>
      <c r="M104" s="8"/>
    </row>
    <row r="105" customFormat="false" ht="15" hidden="false" customHeight="false" outlineLevel="0" collapsed="false">
      <c r="A105" s="13"/>
      <c r="B105" s="18"/>
      <c r="C105" s="13"/>
      <c r="D105" s="20" t="str">
        <f aca="false">IF(A105="","",SUMIFS(Quotes!$E$2:$E$301,Quotes!$B$2:$B$301,A105,Quotes!$C$2:$C$301,C105))</f>
        <v/>
      </c>
      <c r="E105" s="20" t="str">
        <f aca="false">IF(A105="","",IF(D105&lt;500,25,IF(D105&lt;=1500,75,199)))</f>
        <v/>
      </c>
      <c r="F105" s="15" t="str">
        <f aca="false">IF(B105="","",INT((B105-Settings!$B$2)/7)+1)</f>
        <v/>
      </c>
      <c r="G105" s="15" t="str">
        <f aca="false">IF(F105="","",F105&gt;=Settings!$B$5)</f>
        <v/>
      </c>
      <c r="H105" s="13"/>
      <c r="I105" s="13"/>
      <c r="J105" s="15" t="str">
        <f aca="false">IF(A105="","",IFERROR(INDEX(Requests!$E$2:$E$301,MATCH(A105,Requests!$A$2:$A$301,0)),FALSE()))</f>
        <v/>
      </c>
      <c r="K105" s="15" t="str">
        <f aca="false">IF(A105="","",IF(AND(H105="Y",COUNTIFS($C$2:C105,C105,$H$2:H105,"Y")=1),1,0))</f>
        <v/>
      </c>
      <c r="L105" s="8"/>
      <c r="M105" s="8"/>
    </row>
    <row r="106" customFormat="false" ht="15" hidden="false" customHeight="false" outlineLevel="0" collapsed="false">
      <c r="A106" s="13"/>
      <c r="B106" s="18"/>
      <c r="C106" s="13"/>
      <c r="D106" s="20" t="str">
        <f aca="false">IF(A106="","",SUMIFS(Quotes!$E$2:$E$301,Quotes!$B$2:$B$301,A106,Quotes!$C$2:$C$301,C106))</f>
        <v/>
      </c>
      <c r="E106" s="20" t="str">
        <f aca="false">IF(A106="","",IF(D106&lt;500,25,IF(D106&lt;=1500,75,199)))</f>
        <v/>
      </c>
      <c r="F106" s="15" t="str">
        <f aca="false">IF(B106="","",INT((B106-Settings!$B$2)/7)+1)</f>
        <v/>
      </c>
      <c r="G106" s="15" t="str">
        <f aca="false">IF(F106="","",F106&gt;=Settings!$B$5)</f>
        <v/>
      </c>
      <c r="H106" s="13"/>
      <c r="I106" s="13"/>
      <c r="J106" s="15" t="str">
        <f aca="false">IF(A106="","",IFERROR(INDEX(Requests!$E$2:$E$301,MATCH(A106,Requests!$A$2:$A$301,0)),FALSE()))</f>
        <v/>
      </c>
      <c r="K106" s="15" t="str">
        <f aca="false">IF(A106="","",IF(AND(H106="Y",COUNTIFS($C$2:C106,C106,$H$2:H106,"Y")=1),1,0))</f>
        <v/>
      </c>
      <c r="L106" s="8"/>
      <c r="M106" s="8"/>
    </row>
    <row r="107" customFormat="false" ht="15" hidden="false" customHeight="false" outlineLevel="0" collapsed="false">
      <c r="A107" s="13"/>
      <c r="B107" s="18"/>
      <c r="C107" s="13"/>
      <c r="D107" s="20" t="str">
        <f aca="false">IF(A107="","",SUMIFS(Quotes!$E$2:$E$301,Quotes!$B$2:$B$301,A107,Quotes!$C$2:$C$301,C107))</f>
        <v/>
      </c>
      <c r="E107" s="20" t="str">
        <f aca="false">IF(A107="","",IF(D107&lt;500,25,IF(D107&lt;=1500,75,199)))</f>
        <v/>
      </c>
      <c r="F107" s="15" t="str">
        <f aca="false">IF(B107="","",INT((B107-Settings!$B$2)/7)+1)</f>
        <v/>
      </c>
      <c r="G107" s="15" t="str">
        <f aca="false">IF(F107="","",F107&gt;=Settings!$B$5)</f>
        <v/>
      </c>
      <c r="H107" s="13"/>
      <c r="I107" s="13"/>
      <c r="J107" s="15" t="str">
        <f aca="false">IF(A107="","",IFERROR(INDEX(Requests!$E$2:$E$301,MATCH(A107,Requests!$A$2:$A$301,0)),FALSE()))</f>
        <v/>
      </c>
      <c r="K107" s="15" t="str">
        <f aca="false">IF(A107="","",IF(AND(H107="Y",COUNTIFS($C$2:C107,C107,$H$2:H107,"Y")=1),1,0))</f>
        <v/>
      </c>
      <c r="L107" s="8"/>
      <c r="M107" s="8"/>
    </row>
    <row r="108" customFormat="false" ht="15" hidden="false" customHeight="false" outlineLevel="0" collapsed="false">
      <c r="A108" s="13"/>
      <c r="B108" s="18"/>
      <c r="C108" s="13"/>
      <c r="D108" s="20" t="str">
        <f aca="false">IF(A108="","",SUMIFS(Quotes!$E$2:$E$301,Quotes!$B$2:$B$301,A108,Quotes!$C$2:$C$301,C108))</f>
        <v/>
      </c>
      <c r="E108" s="20" t="str">
        <f aca="false">IF(A108="","",IF(D108&lt;500,25,IF(D108&lt;=1500,75,199)))</f>
        <v/>
      </c>
      <c r="F108" s="15" t="str">
        <f aca="false">IF(B108="","",INT((B108-Settings!$B$2)/7)+1)</f>
        <v/>
      </c>
      <c r="G108" s="15" t="str">
        <f aca="false">IF(F108="","",F108&gt;=Settings!$B$5)</f>
        <v/>
      </c>
      <c r="H108" s="13"/>
      <c r="I108" s="13"/>
      <c r="J108" s="15" t="str">
        <f aca="false">IF(A108="","",IFERROR(INDEX(Requests!$E$2:$E$301,MATCH(A108,Requests!$A$2:$A$301,0)),FALSE()))</f>
        <v/>
      </c>
      <c r="K108" s="15" t="str">
        <f aca="false">IF(A108="","",IF(AND(H108="Y",COUNTIFS($C$2:C108,C108,$H$2:H108,"Y")=1),1,0))</f>
        <v/>
      </c>
      <c r="L108" s="8"/>
      <c r="M108" s="8"/>
    </row>
    <row r="109" customFormat="false" ht="15" hidden="false" customHeight="false" outlineLevel="0" collapsed="false">
      <c r="A109" s="13"/>
      <c r="B109" s="18"/>
      <c r="C109" s="13"/>
      <c r="D109" s="20" t="str">
        <f aca="false">IF(A109="","",SUMIFS(Quotes!$E$2:$E$301,Quotes!$B$2:$B$301,A109,Quotes!$C$2:$C$301,C109))</f>
        <v/>
      </c>
      <c r="E109" s="20" t="str">
        <f aca="false">IF(A109="","",IF(D109&lt;500,25,IF(D109&lt;=1500,75,199)))</f>
        <v/>
      </c>
      <c r="F109" s="15" t="str">
        <f aca="false">IF(B109="","",INT((B109-Settings!$B$2)/7)+1)</f>
        <v/>
      </c>
      <c r="G109" s="15" t="str">
        <f aca="false">IF(F109="","",F109&gt;=Settings!$B$5)</f>
        <v/>
      </c>
      <c r="H109" s="13"/>
      <c r="I109" s="13"/>
      <c r="J109" s="15" t="str">
        <f aca="false">IF(A109="","",IFERROR(INDEX(Requests!$E$2:$E$301,MATCH(A109,Requests!$A$2:$A$301,0)),FALSE()))</f>
        <v/>
      </c>
      <c r="K109" s="15" t="str">
        <f aca="false">IF(A109="","",IF(AND(H109="Y",COUNTIFS($C$2:C109,C109,$H$2:H109,"Y")=1),1,0))</f>
        <v/>
      </c>
      <c r="L109" s="8"/>
      <c r="M109" s="8"/>
    </row>
    <row r="110" customFormat="false" ht="15" hidden="false" customHeight="false" outlineLevel="0" collapsed="false">
      <c r="A110" s="13"/>
      <c r="B110" s="18"/>
      <c r="C110" s="13"/>
      <c r="D110" s="20" t="str">
        <f aca="false">IF(A110="","",SUMIFS(Quotes!$E$2:$E$301,Quotes!$B$2:$B$301,A110,Quotes!$C$2:$C$301,C110))</f>
        <v/>
      </c>
      <c r="E110" s="20" t="str">
        <f aca="false">IF(A110="","",IF(D110&lt;500,25,IF(D110&lt;=1500,75,199)))</f>
        <v/>
      </c>
      <c r="F110" s="15" t="str">
        <f aca="false">IF(B110="","",INT((B110-Settings!$B$2)/7)+1)</f>
        <v/>
      </c>
      <c r="G110" s="15" t="str">
        <f aca="false">IF(F110="","",F110&gt;=Settings!$B$5)</f>
        <v/>
      </c>
      <c r="H110" s="13"/>
      <c r="I110" s="13"/>
      <c r="J110" s="15" t="str">
        <f aca="false">IF(A110="","",IFERROR(INDEX(Requests!$E$2:$E$301,MATCH(A110,Requests!$A$2:$A$301,0)),FALSE()))</f>
        <v/>
      </c>
      <c r="K110" s="15" t="str">
        <f aca="false">IF(A110="","",IF(AND(H110="Y",COUNTIFS($C$2:C110,C110,$H$2:H110,"Y")=1),1,0))</f>
        <v/>
      </c>
      <c r="L110" s="8"/>
      <c r="M110" s="8"/>
    </row>
    <row r="111" customFormat="false" ht="15" hidden="false" customHeight="false" outlineLevel="0" collapsed="false">
      <c r="A111" s="13"/>
      <c r="B111" s="18"/>
      <c r="C111" s="13"/>
      <c r="D111" s="20" t="str">
        <f aca="false">IF(A111="","",SUMIFS(Quotes!$E$2:$E$301,Quotes!$B$2:$B$301,A111,Quotes!$C$2:$C$301,C111))</f>
        <v/>
      </c>
      <c r="E111" s="20" t="str">
        <f aca="false">IF(A111="","",IF(D111&lt;500,25,IF(D111&lt;=1500,75,199)))</f>
        <v/>
      </c>
      <c r="F111" s="15" t="str">
        <f aca="false">IF(B111="","",INT((B111-Settings!$B$2)/7)+1)</f>
        <v/>
      </c>
      <c r="G111" s="15" t="str">
        <f aca="false">IF(F111="","",F111&gt;=Settings!$B$5)</f>
        <v/>
      </c>
      <c r="H111" s="13"/>
      <c r="I111" s="13"/>
      <c r="J111" s="15" t="str">
        <f aca="false">IF(A111="","",IFERROR(INDEX(Requests!$E$2:$E$301,MATCH(A111,Requests!$A$2:$A$301,0)),FALSE()))</f>
        <v/>
      </c>
      <c r="K111" s="15" t="str">
        <f aca="false">IF(A111="","",IF(AND(H111="Y",COUNTIFS($C$2:C111,C111,$H$2:H111,"Y")=1),1,0))</f>
        <v/>
      </c>
      <c r="L111" s="8"/>
      <c r="M111" s="8"/>
    </row>
    <row r="112" customFormat="false" ht="15" hidden="false" customHeight="false" outlineLevel="0" collapsed="false">
      <c r="A112" s="13"/>
      <c r="B112" s="18"/>
      <c r="C112" s="13"/>
      <c r="D112" s="20" t="str">
        <f aca="false">IF(A112="","",SUMIFS(Quotes!$E$2:$E$301,Quotes!$B$2:$B$301,A112,Quotes!$C$2:$C$301,C112))</f>
        <v/>
      </c>
      <c r="E112" s="20" t="str">
        <f aca="false">IF(A112="","",IF(D112&lt;500,25,IF(D112&lt;=1500,75,199)))</f>
        <v/>
      </c>
      <c r="F112" s="15" t="str">
        <f aca="false">IF(B112="","",INT((B112-Settings!$B$2)/7)+1)</f>
        <v/>
      </c>
      <c r="G112" s="15" t="str">
        <f aca="false">IF(F112="","",F112&gt;=Settings!$B$5)</f>
        <v/>
      </c>
      <c r="H112" s="13"/>
      <c r="I112" s="13"/>
      <c r="J112" s="15" t="str">
        <f aca="false">IF(A112="","",IFERROR(INDEX(Requests!$E$2:$E$301,MATCH(A112,Requests!$A$2:$A$301,0)),FALSE()))</f>
        <v/>
      </c>
      <c r="K112" s="15" t="str">
        <f aca="false">IF(A112="","",IF(AND(H112="Y",COUNTIFS($C$2:C112,C112,$H$2:H112,"Y")=1),1,0))</f>
        <v/>
      </c>
      <c r="L112" s="8"/>
      <c r="M112" s="8"/>
    </row>
    <row r="113" customFormat="false" ht="15" hidden="false" customHeight="false" outlineLevel="0" collapsed="false">
      <c r="A113" s="13"/>
      <c r="B113" s="18"/>
      <c r="C113" s="13"/>
      <c r="D113" s="20" t="str">
        <f aca="false">IF(A113="","",SUMIFS(Quotes!$E$2:$E$301,Quotes!$B$2:$B$301,A113,Quotes!$C$2:$C$301,C113))</f>
        <v/>
      </c>
      <c r="E113" s="20" t="str">
        <f aca="false">IF(A113="","",IF(D113&lt;500,25,IF(D113&lt;=1500,75,199)))</f>
        <v/>
      </c>
      <c r="F113" s="15" t="str">
        <f aca="false">IF(B113="","",INT((B113-Settings!$B$2)/7)+1)</f>
        <v/>
      </c>
      <c r="G113" s="15" t="str">
        <f aca="false">IF(F113="","",F113&gt;=Settings!$B$5)</f>
        <v/>
      </c>
      <c r="H113" s="13"/>
      <c r="I113" s="13"/>
      <c r="J113" s="15" t="str">
        <f aca="false">IF(A113="","",IFERROR(INDEX(Requests!$E$2:$E$301,MATCH(A113,Requests!$A$2:$A$301,0)),FALSE()))</f>
        <v/>
      </c>
      <c r="K113" s="15" t="str">
        <f aca="false">IF(A113="","",IF(AND(H113="Y",COUNTIFS($C$2:C113,C113,$H$2:H113,"Y")=1),1,0))</f>
        <v/>
      </c>
      <c r="L113" s="8"/>
      <c r="M113" s="8"/>
    </row>
    <row r="114" customFormat="false" ht="15" hidden="false" customHeight="false" outlineLevel="0" collapsed="false">
      <c r="A114" s="13"/>
      <c r="B114" s="18"/>
      <c r="C114" s="13"/>
      <c r="D114" s="20" t="str">
        <f aca="false">IF(A114="","",SUMIFS(Quotes!$E$2:$E$301,Quotes!$B$2:$B$301,A114,Quotes!$C$2:$C$301,C114))</f>
        <v/>
      </c>
      <c r="E114" s="20" t="str">
        <f aca="false">IF(A114="","",IF(D114&lt;500,25,IF(D114&lt;=1500,75,199)))</f>
        <v/>
      </c>
      <c r="F114" s="15" t="str">
        <f aca="false">IF(B114="","",INT((B114-Settings!$B$2)/7)+1)</f>
        <v/>
      </c>
      <c r="G114" s="15" t="str">
        <f aca="false">IF(F114="","",F114&gt;=Settings!$B$5)</f>
        <v/>
      </c>
      <c r="H114" s="13"/>
      <c r="I114" s="13"/>
      <c r="J114" s="15" t="str">
        <f aca="false">IF(A114="","",IFERROR(INDEX(Requests!$E$2:$E$301,MATCH(A114,Requests!$A$2:$A$301,0)),FALSE()))</f>
        <v/>
      </c>
      <c r="K114" s="15" t="str">
        <f aca="false">IF(A114="","",IF(AND(H114="Y",COUNTIFS($C$2:C114,C114,$H$2:H114,"Y")=1),1,0))</f>
        <v/>
      </c>
      <c r="L114" s="8"/>
      <c r="M114" s="8"/>
    </row>
    <row r="115" customFormat="false" ht="15" hidden="false" customHeight="false" outlineLevel="0" collapsed="false">
      <c r="A115" s="13"/>
      <c r="B115" s="18"/>
      <c r="C115" s="13"/>
      <c r="D115" s="20" t="str">
        <f aca="false">IF(A115="","",SUMIFS(Quotes!$E$2:$E$301,Quotes!$B$2:$B$301,A115,Quotes!$C$2:$C$301,C115))</f>
        <v/>
      </c>
      <c r="E115" s="20" t="str">
        <f aca="false">IF(A115="","",IF(D115&lt;500,25,IF(D115&lt;=1500,75,199)))</f>
        <v/>
      </c>
      <c r="F115" s="15" t="str">
        <f aca="false">IF(B115="","",INT((B115-Settings!$B$2)/7)+1)</f>
        <v/>
      </c>
      <c r="G115" s="15" t="str">
        <f aca="false">IF(F115="","",F115&gt;=Settings!$B$5)</f>
        <v/>
      </c>
      <c r="H115" s="13"/>
      <c r="I115" s="13"/>
      <c r="J115" s="15" t="str">
        <f aca="false">IF(A115="","",IFERROR(INDEX(Requests!$E$2:$E$301,MATCH(A115,Requests!$A$2:$A$301,0)),FALSE()))</f>
        <v/>
      </c>
      <c r="K115" s="15" t="str">
        <f aca="false">IF(A115="","",IF(AND(H115="Y",COUNTIFS($C$2:C115,C115,$H$2:H115,"Y")=1),1,0))</f>
        <v/>
      </c>
      <c r="L115" s="8"/>
      <c r="M115" s="8"/>
    </row>
    <row r="116" customFormat="false" ht="15" hidden="false" customHeight="false" outlineLevel="0" collapsed="false">
      <c r="A116" s="13"/>
      <c r="B116" s="18"/>
      <c r="C116" s="13"/>
      <c r="D116" s="20" t="str">
        <f aca="false">IF(A116="","",SUMIFS(Quotes!$E$2:$E$301,Quotes!$B$2:$B$301,A116,Quotes!$C$2:$C$301,C116))</f>
        <v/>
      </c>
      <c r="E116" s="20" t="str">
        <f aca="false">IF(A116="","",IF(D116&lt;500,25,IF(D116&lt;=1500,75,199)))</f>
        <v/>
      </c>
      <c r="F116" s="15" t="str">
        <f aca="false">IF(B116="","",INT((B116-Settings!$B$2)/7)+1)</f>
        <v/>
      </c>
      <c r="G116" s="15" t="str">
        <f aca="false">IF(F116="","",F116&gt;=Settings!$B$5)</f>
        <v/>
      </c>
      <c r="H116" s="13"/>
      <c r="I116" s="13"/>
      <c r="J116" s="15" t="str">
        <f aca="false">IF(A116="","",IFERROR(INDEX(Requests!$E$2:$E$301,MATCH(A116,Requests!$A$2:$A$301,0)),FALSE()))</f>
        <v/>
      </c>
      <c r="K116" s="15" t="str">
        <f aca="false">IF(A116="","",IF(AND(H116="Y",COUNTIFS($C$2:C116,C116,$H$2:H116,"Y")=1),1,0))</f>
        <v/>
      </c>
      <c r="L116" s="8"/>
      <c r="M116" s="8"/>
    </row>
    <row r="117" customFormat="false" ht="15" hidden="false" customHeight="false" outlineLevel="0" collapsed="false">
      <c r="A117" s="13"/>
      <c r="B117" s="18"/>
      <c r="C117" s="13"/>
      <c r="D117" s="20" t="str">
        <f aca="false">IF(A117="","",SUMIFS(Quotes!$E$2:$E$301,Quotes!$B$2:$B$301,A117,Quotes!$C$2:$C$301,C117))</f>
        <v/>
      </c>
      <c r="E117" s="20" t="str">
        <f aca="false">IF(A117="","",IF(D117&lt;500,25,IF(D117&lt;=1500,75,199)))</f>
        <v/>
      </c>
      <c r="F117" s="15" t="str">
        <f aca="false">IF(B117="","",INT((B117-Settings!$B$2)/7)+1)</f>
        <v/>
      </c>
      <c r="G117" s="15" t="str">
        <f aca="false">IF(F117="","",F117&gt;=Settings!$B$5)</f>
        <v/>
      </c>
      <c r="H117" s="13"/>
      <c r="I117" s="13"/>
      <c r="J117" s="15" t="str">
        <f aca="false">IF(A117="","",IFERROR(INDEX(Requests!$E$2:$E$301,MATCH(A117,Requests!$A$2:$A$301,0)),FALSE()))</f>
        <v/>
      </c>
      <c r="K117" s="15" t="str">
        <f aca="false">IF(A117="","",IF(AND(H117="Y",COUNTIFS($C$2:C117,C117,$H$2:H117,"Y")=1),1,0))</f>
        <v/>
      </c>
      <c r="L117" s="8"/>
      <c r="M117" s="8"/>
    </row>
    <row r="118" customFormat="false" ht="15" hidden="false" customHeight="false" outlineLevel="0" collapsed="false">
      <c r="A118" s="13"/>
      <c r="B118" s="18"/>
      <c r="C118" s="13"/>
      <c r="D118" s="20" t="str">
        <f aca="false">IF(A118="","",SUMIFS(Quotes!$E$2:$E$301,Quotes!$B$2:$B$301,A118,Quotes!$C$2:$C$301,C118))</f>
        <v/>
      </c>
      <c r="E118" s="20" t="str">
        <f aca="false">IF(A118="","",IF(D118&lt;500,25,IF(D118&lt;=1500,75,199)))</f>
        <v/>
      </c>
      <c r="F118" s="15" t="str">
        <f aca="false">IF(B118="","",INT((B118-Settings!$B$2)/7)+1)</f>
        <v/>
      </c>
      <c r="G118" s="15" t="str">
        <f aca="false">IF(F118="","",F118&gt;=Settings!$B$5)</f>
        <v/>
      </c>
      <c r="H118" s="13"/>
      <c r="I118" s="13"/>
      <c r="J118" s="15" t="str">
        <f aca="false">IF(A118="","",IFERROR(INDEX(Requests!$E$2:$E$301,MATCH(A118,Requests!$A$2:$A$301,0)),FALSE()))</f>
        <v/>
      </c>
      <c r="K118" s="15" t="str">
        <f aca="false">IF(A118="","",IF(AND(H118="Y",COUNTIFS($C$2:C118,C118,$H$2:H118,"Y")=1),1,0))</f>
        <v/>
      </c>
      <c r="L118" s="8"/>
      <c r="M118" s="8"/>
    </row>
    <row r="119" customFormat="false" ht="15" hidden="false" customHeight="false" outlineLevel="0" collapsed="false">
      <c r="A119" s="13"/>
      <c r="B119" s="18"/>
      <c r="C119" s="13"/>
      <c r="D119" s="20" t="str">
        <f aca="false">IF(A119="","",SUMIFS(Quotes!$E$2:$E$301,Quotes!$B$2:$B$301,A119,Quotes!$C$2:$C$301,C119))</f>
        <v/>
      </c>
      <c r="E119" s="20" t="str">
        <f aca="false">IF(A119="","",IF(D119&lt;500,25,IF(D119&lt;=1500,75,199)))</f>
        <v/>
      </c>
      <c r="F119" s="15" t="str">
        <f aca="false">IF(B119="","",INT((B119-Settings!$B$2)/7)+1)</f>
        <v/>
      </c>
      <c r="G119" s="15" t="str">
        <f aca="false">IF(F119="","",F119&gt;=Settings!$B$5)</f>
        <v/>
      </c>
      <c r="H119" s="13"/>
      <c r="I119" s="13"/>
      <c r="J119" s="15" t="str">
        <f aca="false">IF(A119="","",IFERROR(INDEX(Requests!$E$2:$E$301,MATCH(A119,Requests!$A$2:$A$301,0)),FALSE()))</f>
        <v/>
      </c>
      <c r="K119" s="15" t="str">
        <f aca="false">IF(A119="","",IF(AND(H119="Y",COUNTIFS($C$2:C119,C119,$H$2:H119,"Y")=1),1,0))</f>
        <v/>
      </c>
      <c r="L119" s="8"/>
      <c r="M119" s="8"/>
    </row>
    <row r="120" customFormat="false" ht="15" hidden="false" customHeight="false" outlineLevel="0" collapsed="false">
      <c r="A120" s="13"/>
      <c r="B120" s="18"/>
      <c r="C120" s="13"/>
      <c r="D120" s="20" t="str">
        <f aca="false">IF(A120="","",SUMIFS(Quotes!$E$2:$E$301,Quotes!$B$2:$B$301,A120,Quotes!$C$2:$C$301,C120))</f>
        <v/>
      </c>
      <c r="E120" s="20" t="str">
        <f aca="false">IF(A120="","",IF(D120&lt;500,25,IF(D120&lt;=1500,75,199)))</f>
        <v/>
      </c>
      <c r="F120" s="15" t="str">
        <f aca="false">IF(B120="","",INT((B120-Settings!$B$2)/7)+1)</f>
        <v/>
      </c>
      <c r="G120" s="15" t="str">
        <f aca="false">IF(F120="","",F120&gt;=Settings!$B$5)</f>
        <v/>
      </c>
      <c r="H120" s="13"/>
      <c r="I120" s="13"/>
      <c r="J120" s="15" t="str">
        <f aca="false">IF(A120="","",IFERROR(INDEX(Requests!$E$2:$E$301,MATCH(A120,Requests!$A$2:$A$301,0)),FALSE()))</f>
        <v/>
      </c>
      <c r="K120" s="15" t="str">
        <f aca="false">IF(A120="","",IF(AND(H120="Y",COUNTIFS($C$2:C120,C120,$H$2:H120,"Y")=1),1,0))</f>
        <v/>
      </c>
      <c r="L120" s="8"/>
      <c r="M120" s="8"/>
    </row>
    <row r="121" customFormat="false" ht="15" hidden="false" customHeight="false" outlineLevel="0" collapsed="false">
      <c r="A121" s="13"/>
      <c r="B121" s="18"/>
      <c r="C121" s="13"/>
      <c r="D121" s="20" t="str">
        <f aca="false">IF(A121="","",SUMIFS(Quotes!$E$2:$E$301,Quotes!$B$2:$B$301,A121,Quotes!$C$2:$C$301,C121))</f>
        <v/>
      </c>
      <c r="E121" s="20" t="str">
        <f aca="false">IF(A121="","",IF(D121&lt;500,25,IF(D121&lt;=1500,75,199)))</f>
        <v/>
      </c>
      <c r="F121" s="15" t="str">
        <f aca="false">IF(B121="","",INT((B121-Settings!$B$2)/7)+1)</f>
        <v/>
      </c>
      <c r="G121" s="15" t="str">
        <f aca="false">IF(F121="","",F121&gt;=Settings!$B$5)</f>
        <v/>
      </c>
      <c r="H121" s="13"/>
      <c r="I121" s="13"/>
      <c r="J121" s="15" t="str">
        <f aca="false">IF(A121="","",IFERROR(INDEX(Requests!$E$2:$E$301,MATCH(A121,Requests!$A$2:$A$301,0)),FALSE()))</f>
        <v/>
      </c>
      <c r="K121" s="15" t="str">
        <f aca="false">IF(A121="","",IF(AND(H121="Y",COUNTIFS($C$2:C121,C121,$H$2:H121,"Y")=1),1,0))</f>
        <v/>
      </c>
      <c r="L121" s="8"/>
      <c r="M121" s="8"/>
    </row>
    <row r="122" customFormat="false" ht="15" hidden="false" customHeight="false" outlineLevel="0" collapsed="false">
      <c r="A122" s="13"/>
      <c r="B122" s="18"/>
      <c r="C122" s="13"/>
      <c r="D122" s="20" t="str">
        <f aca="false">IF(A122="","",SUMIFS(Quotes!$E$2:$E$301,Quotes!$B$2:$B$301,A122,Quotes!$C$2:$C$301,C122))</f>
        <v/>
      </c>
      <c r="E122" s="20" t="str">
        <f aca="false">IF(A122="","",IF(D122&lt;500,25,IF(D122&lt;=1500,75,199)))</f>
        <v/>
      </c>
      <c r="F122" s="15" t="str">
        <f aca="false">IF(B122="","",INT((B122-Settings!$B$2)/7)+1)</f>
        <v/>
      </c>
      <c r="G122" s="15" t="str">
        <f aca="false">IF(F122="","",F122&gt;=Settings!$B$5)</f>
        <v/>
      </c>
      <c r="H122" s="13"/>
      <c r="I122" s="13"/>
      <c r="J122" s="15" t="str">
        <f aca="false">IF(A122="","",IFERROR(INDEX(Requests!$E$2:$E$301,MATCH(A122,Requests!$A$2:$A$301,0)),FALSE()))</f>
        <v/>
      </c>
      <c r="K122" s="15" t="str">
        <f aca="false">IF(A122="","",IF(AND(H122="Y",COUNTIFS($C$2:C122,C122,$H$2:H122,"Y")=1),1,0))</f>
        <v/>
      </c>
      <c r="L122" s="8"/>
      <c r="M122" s="8"/>
    </row>
    <row r="123" customFormat="false" ht="15" hidden="false" customHeight="false" outlineLevel="0" collapsed="false">
      <c r="A123" s="13"/>
      <c r="B123" s="18"/>
      <c r="C123" s="13"/>
      <c r="D123" s="20" t="str">
        <f aca="false">IF(A123="","",SUMIFS(Quotes!$E$2:$E$301,Quotes!$B$2:$B$301,A123,Quotes!$C$2:$C$301,C123))</f>
        <v/>
      </c>
      <c r="E123" s="20" t="str">
        <f aca="false">IF(A123="","",IF(D123&lt;500,25,IF(D123&lt;=1500,75,199)))</f>
        <v/>
      </c>
      <c r="F123" s="15" t="str">
        <f aca="false">IF(B123="","",INT((B123-Settings!$B$2)/7)+1)</f>
        <v/>
      </c>
      <c r="G123" s="15" t="str">
        <f aca="false">IF(F123="","",F123&gt;=Settings!$B$5)</f>
        <v/>
      </c>
      <c r="H123" s="13"/>
      <c r="I123" s="13"/>
      <c r="J123" s="15" t="str">
        <f aca="false">IF(A123="","",IFERROR(INDEX(Requests!$E$2:$E$301,MATCH(A123,Requests!$A$2:$A$301,0)),FALSE()))</f>
        <v/>
      </c>
      <c r="K123" s="15" t="str">
        <f aca="false">IF(A123="","",IF(AND(H123="Y",COUNTIFS($C$2:C123,C123,$H$2:H123,"Y")=1),1,0))</f>
        <v/>
      </c>
      <c r="L123" s="8"/>
      <c r="M123" s="8"/>
    </row>
    <row r="124" customFormat="false" ht="15" hidden="false" customHeight="false" outlineLevel="0" collapsed="false">
      <c r="A124" s="13"/>
      <c r="B124" s="18"/>
      <c r="C124" s="13"/>
      <c r="D124" s="20" t="str">
        <f aca="false">IF(A124="","",SUMIFS(Quotes!$E$2:$E$301,Quotes!$B$2:$B$301,A124,Quotes!$C$2:$C$301,C124))</f>
        <v/>
      </c>
      <c r="E124" s="20" t="str">
        <f aca="false">IF(A124="","",IF(D124&lt;500,25,IF(D124&lt;=1500,75,199)))</f>
        <v/>
      </c>
      <c r="F124" s="15" t="str">
        <f aca="false">IF(B124="","",INT((B124-Settings!$B$2)/7)+1)</f>
        <v/>
      </c>
      <c r="G124" s="15" t="str">
        <f aca="false">IF(F124="","",F124&gt;=Settings!$B$5)</f>
        <v/>
      </c>
      <c r="H124" s="13"/>
      <c r="I124" s="13"/>
      <c r="J124" s="15" t="str">
        <f aca="false">IF(A124="","",IFERROR(INDEX(Requests!$E$2:$E$301,MATCH(A124,Requests!$A$2:$A$301,0)),FALSE()))</f>
        <v/>
      </c>
      <c r="K124" s="15" t="str">
        <f aca="false">IF(A124="","",IF(AND(H124="Y",COUNTIFS($C$2:C124,C124,$H$2:H124,"Y")=1),1,0))</f>
        <v/>
      </c>
      <c r="L124" s="8"/>
      <c r="M124" s="8"/>
    </row>
    <row r="125" customFormat="false" ht="15" hidden="false" customHeight="false" outlineLevel="0" collapsed="false">
      <c r="A125" s="13"/>
      <c r="B125" s="18"/>
      <c r="C125" s="13"/>
      <c r="D125" s="20" t="str">
        <f aca="false">IF(A125="","",SUMIFS(Quotes!$E$2:$E$301,Quotes!$B$2:$B$301,A125,Quotes!$C$2:$C$301,C125))</f>
        <v/>
      </c>
      <c r="E125" s="20" t="str">
        <f aca="false">IF(A125="","",IF(D125&lt;500,25,IF(D125&lt;=1500,75,199)))</f>
        <v/>
      </c>
      <c r="F125" s="15" t="str">
        <f aca="false">IF(B125="","",INT((B125-Settings!$B$2)/7)+1)</f>
        <v/>
      </c>
      <c r="G125" s="15" t="str">
        <f aca="false">IF(F125="","",F125&gt;=Settings!$B$5)</f>
        <v/>
      </c>
      <c r="H125" s="13"/>
      <c r="I125" s="13"/>
      <c r="J125" s="15" t="str">
        <f aca="false">IF(A125="","",IFERROR(INDEX(Requests!$E$2:$E$301,MATCH(A125,Requests!$A$2:$A$301,0)),FALSE()))</f>
        <v/>
      </c>
      <c r="K125" s="15" t="str">
        <f aca="false">IF(A125="","",IF(AND(H125="Y",COUNTIFS($C$2:C125,C125,$H$2:H125,"Y")=1),1,0))</f>
        <v/>
      </c>
      <c r="L125" s="8"/>
      <c r="M125" s="8"/>
    </row>
    <row r="126" customFormat="false" ht="15" hidden="false" customHeight="false" outlineLevel="0" collapsed="false">
      <c r="A126" s="13"/>
      <c r="B126" s="18"/>
      <c r="C126" s="13"/>
      <c r="D126" s="20" t="str">
        <f aca="false">IF(A126="","",SUMIFS(Quotes!$E$2:$E$301,Quotes!$B$2:$B$301,A126,Quotes!$C$2:$C$301,C126))</f>
        <v/>
      </c>
      <c r="E126" s="20" t="str">
        <f aca="false">IF(A126="","",IF(D126&lt;500,25,IF(D126&lt;=1500,75,199)))</f>
        <v/>
      </c>
      <c r="F126" s="15" t="str">
        <f aca="false">IF(B126="","",INT((B126-Settings!$B$2)/7)+1)</f>
        <v/>
      </c>
      <c r="G126" s="15" t="str">
        <f aca="false">IF(F126="","",F126&gt;=Settings!$B$5)</f>
        <v/>
      </c>
      <c r="H126" s="13"/>
      <c r="I126" s="13"/>
      <c r="J126" s="15" t="str">
        <f aca="false">IF(A126="","",IFERROR(INDEX(Requests!$E$2:$E$301,MATCH(A126,Requests!$A$2:$A$301,0)),FALSE()))</f>
        <v/>
      </c>
      <c r="K126" s="15" t="str">
        <f aca="false">IF(A126="","",IF(AND(H126="Y",COUNTIFS($C$2:C126,C126,$H$2:H126,"Y")=1),1,0))</f>
        <v/>
      </c>
      <c r="L126" s="8"/>
      <c r="M126" s="8"/>
    </row>
    <row r="127" customFormat="false" ht="15" hidden="false" customHeight="false" outlineLevel="0" collapsed="false">
      <c r="A127" s="13"/>
      <c r="B127" s="18"/>
      <c r="C127" s="13"/>
      <c r="D127" s="20" t="str">
        <f aca="false">IF(A127="","",SUMIFS(Quotes!$E$2:$E$301,Quotes!$B$2:$B$301,A127,Quotes!$C$2:$C$301,C127))</f>
        <v/>
      </c>
      <c r="E127" s="20" t="str">
        <f aca="false">IF(A127="","",IF(D127&lt;500,25,IF(D127&lt;=1500,75,199)))</f>
        <v/>
      </c>
      <c r="F127" s="15" t="str">
        <f aca="false">IF(B127="","",INT((B127-Settings!$B$2)/7)+1)</f>
        <v/>
      </c>
      <c r="G127" s="15" t="str">
        <f aca="false">IF(F127="","",F127&gt;=Settings!$B$5)</f>
        <v/>
      </c>
      <c r="H127" s="13"/>
      <c r="I127" s="13"/>
      <c r="J127" s="15" t="str">
        <f aca="false">IF(A127="","",IFERROR(INDEX(Requests!$E$2:$E$301,MATCH(A127,Requests!$A$2:$A$301,0)),FALSE()))</f>
        <v/>
      </c>
      <c r="K127" s="15" t="str">
        <f aca="false">IF(A127="","",IF(AND(H127="Y",COUNTIFS($C$2:C127,C127,$H$2:H127,"Y")=1),1,0))</f>
        <v/>
      </c>
      <c r="L127" s="8"/>
      <c r="M127" s="8"/>
    </row>
    <row r="128" customFormat="false" ht="15" hidden="false" customHeight="false" outlineLevel="0" collapsed="false">
      <c r="A128" s="13"/>
      <c r="B128" s="18"/>
      <c r="C128" s="13"/>
      <c r="D128" s="20" t="str">
        <f aca="false">IF(A128="","",SUMIFS(Quotes!$E$2:$E$301,Quotes!$B$2:$B$301,A128,Quotes!$C$2:$C$301,C128))</f>
        <v/>
      </c>
      <c r="E128" s="20" t="str">
        <f aca="false">IF(A128="","",IF(D128&lt;500,25,IF(D128&lt;=1500,75,199)))</f>
        <v/>
      </c>
      <c r="F128" s="15" t="str">
        <f aca="false">IF(B128="","",INT((B128-Settings!$B$2)/7)+1)</f>
        <v/>
      </c>
      <c r="G128" s="15" t="str">
        <f aca="false">IF(F128="","",F128&gt;=Settings!$B$5)</f>
        <v/>
      </c>
      <c r="H128" s="13"/>
      <c r="I128" s="13"/>
      <c r="J128" s="15" t="str">
        <f aca="false">IF(A128="","",IFERROR(INDEX(Requests!$E$2:$E$301,MATCH(A128,Requests!$A$2:$A$301,0)),FALSE()))</f>
        <v/>
      </c>
      <c r="K128" s="15" t="str">
        <f aca="false">IF(A128="","",IF(AND(H128="Y",COUNTIFS($C$2:C128,C128,$H$2:H128,"Y")=1),1,0))</f>
        <v/>
      </c>
      <c r="L128" s="8"/>
      <c r="M128" s="8"/>
    </row>
    <row r="129" customFormat="false" ht="15" hidden="false" customHeight="false" outlineLevel="0" collapsed="false">
      <c r="A129" s="13"/>
      <c r="B129" s="18"/>
      <c r="C129" s="13"/>
      <c r="D129" s="20" t="str">
        <f aca="false">IF(A129="","",SUMIFS(Quotes!$E$2:$E$301,Quotes!$B$2:$B$301,A129,Quotes!$C$2:$C$301,C129))</f>
        <v/>
      </c>
      <c r="E129" s="20" t="str">
        <f aca="false">IF(A129="","",IF(D129&lt;500,25,IF(D129&lt;=1500,75,199)))</f>
        <v/>
      </c>
      <c r="F129" s="15" t="str">
        <f aca="false">IF(B129="","",INT((B129-Settings!$B$2)/7)+1)</f>
        <v/>
      </c>
      <c r="G129" s="15" t="str">
        <f aca="false">IF(F129="","",F129&gt;=Settings!$B$5)</f>
        <v/>
      </c>
      <c r="H129" s="13"/>
      <c r="I129" s="13"/>
      <c r="J129" s="15" t="str">
        <f aca="false">IF(A129="","",IFERROR(INDEX(Requests!$E$2:$E$301,MATCH(A129,Requests!$A$2:$A$301,0)),FALSE()))</f>
        <v/>
      </c>
      <c r="K129" s="15" t="str">
        <f aca="false">IF(A129="","",IF(AND(H129="Y",COUNTIFS($C$2:C129,C129,$H$2:H129,"Y")=1),1,0))</f>
        <v/>
      </c>
      <c r="L129" s="8"/>
      <c r="M129" s="8"/>
    </row>
    <row r="130" customFormat="false" ht="15" hidden="false" customHeight="false" outlineLevel="0" collapsed="false">
      <c r="A130" s="13"/>
      <c r="B130" s="18"/>
      <c r="C130" s="13"/>
      <c r="D130" s="20" t="str">
        <f aca="false">IF(A130="","",SUMIFS(Quotes!$E$2:$E$301,Quotes!$B$2:$B$301,A130,Quotes!$C$2:$C$301,C130))</f>
        <v/>
      </c>
      <c r="E130" s="20" t="str">
        <f aca="false">IF(A130="","",IF(D130&lt;500,25,IF(D130&lt;=1500,75,199)))</f>
        <v/>
      </c>
      <c r="F130" s="15" t="str">
        <f aca="false">IF(B130="","",INT((B130-Settings!$B$2)/7)+1)</f>
        <v/>
      </c>
      <c r="G130" s="15" t="str">
        <f aca="false">IF(F130="","",F130&gt;=Settings!$B$5)</f>
        <v/>
      </c>
      <c r="H130" s="13"/>
      <c r="I130" s="13"/>
      <c r="J130" s="15" t="str">
        <f aca="false">IF(A130="","",IFERROR(INDEX(Requests!$E$2:$E$301,MATCH(A130,Requests!$A$2:$A$301,0)),FALSE()))</f>
        <v/>
      </c>
      <c r="K130" s="15" t="str">
        <f aca="false">IF(A130="","",IF(AND(H130="Y",COUNTIFS($C$2:C130,C130,$H$2:H130,"Y")=1),1,0))</f>
        <v/>
      </c>
      <c r="L130" s="8"/>
      <c r="M130" s="8"/>
    </row>
    <row r="131" customFormat="false" ht="15" hidden="false" customHeight="false" outlineLevel="0" collapsed="false">
      <c r="A131" s="13"/>
      <c r="B131" s="18"/>
      <c r="C131" s="13"/>
      <c r="D131" s="20" t="str">
        <f aca="false">IF(A131="","",SUMIFS(Quotes!$E$2:$E$301,Quotes!$B$2:$B$301,A131,Quotes!$C$2:$C$301,C131))</f>
        <v/>
      </c>
      <c r="E131" s="20" t="str">
        <f aca="false">IF(A131="","",IF(D131&lt;500,25,IF(D131&lt;=1500,75,199)))</f>
        <v/>
      </c>
      <c r="F131" s="15" t="str">
        <f aca="false">IF(B131="","",INT((B131-Settings!$B$2)/7)+1)</f>
        <v/>
      </c>
      <c r="G131" s="15" t="str">
        <f aca="false">IF(F131="","",F131&gt;=Settings!$B$5)</f>
        <v/>
      </c>
      <c r="H131" s="13"/>
      <c r="I131" s="13"/>
      <c r="J131" s="15" t="str">
        <f aca="false">IF(A131="","",IFERROR(INDEX(Requests!$E$2:$E$301,MATCH(A131,Requests!$A$2:$A$301,0)),FALSE()))</f>
        <v/>
      </c>
      <c r="K131" s="15" t="str">
        <f aca="false">IF(A131="","",IF(AND(H131="Y",COUNTIFS($C$2:C131,C131,$H$2:H131,"Y")=1),1,0))</f>
        <v/>
      </c>
      <c r="L131" s="8"/>
      <c r="M131" s="8"/>
    </row>
    <row r="132" customFormat="false" ht="15" hidden="false" customHeight="false" outlineLevel="0" collapsed="false">
      <c r="A132" s="13"/>
      <c r="B132" s="18"/>
      <c r="C132" s="13"/>
      <c r="D132" s="20" t="str">
        <f aca="false">IF(A132="","",SUMIFS(Quotes!$E$2:$E$301,Quotes!$B$2:$B$301,A132,Quotes!$C$2:$C$301,C132))</f>
        <v/>
      </c>
      <c r="E132" s="20" t="str">
        <f aca="false">IF(A132="","",IF(D132&lt;500,25,IF(D132&lt;=1500,75,199)))</f>
        <v/>
      </c>
      <c r="F132" s="15" t="str">
        <f aca="false">IF(B132="","",INT((B132-Settings!$B$2)/7)+1)</f>
        <v/>
      </c>
      <c r="G132" s="15" t="str">
        <f aca="false">IF(F132="","",F132&gt;=Settings!$B$5)</f>
        <v/>
      </c>
      <c r="H132" s="13"/>
      <c r="I132" s="13"/>
      <c r="J132" s="15" t="str">
        <f aca="false">IF(A132="","",IFERROR(INDEX(Requests!$E$2:$E$301,MATCH(A132,Requests!$A$2:$A$301,0)),FALSE()))</f>
        <v/>
      </c>
      <c r="K132" s="15" t="str">
        <f aca="false">IF(A132="","",IF(AND(H132="Y",COUNTIFS($C$2:C132,C132,$H$2:H132,"Y")=1),1,0))</f>
        <v/>
      </c>
      <c r="L132" s="8"/>
      <c r="M132" s="8"/>
    </row>
    <row r="133" customFormat="false" ht="15" hidden="false" customHeight="false" outlineLevel="0" collapsed="false">
      <c r="A133" s="13"/>
      <c r="B133" s="18"/>
      <c r="C133" s="13"/>
      <c r="D133" s="20" t="str">
        <f aca="false">IF(A133="","",SUMIFS(Quotes!$E$2:$E$301,Quotes!$B$2:$B$301,A133,Quotes!$C$2:$C$301,C133))</f>
        <v/>
      </c>
      <c r="E133" s="20" t="str">
        <f aca="false">IF(A133="","",IF(D133&lt;500,25,IF(D133&lt;=1500,75,199)))</f>
        <v/>
      </c>
      <c r="F133" s="15" t="str">
        <f aca="false">IF(B133="","",INT((B133-Settings!$B$2)/7)+1)</f>
        <v/>
      </c>
      <c r="G133" s="15" t="str">
        <f aca="false">IF(F133="","",F133&gt;=Settings!$B$5)</f>
        <v/>
      </c>
      <c r="H133" s="13"/>
      <c r="I133" s="13"/>
      <c r="J133" s="15" t="str">
        <f aca="false">IF(A133="","",IFERROR(INDEX(Requests!$E$2:$E$301,MATCH(A133,Requests!$A$2:$A$301,0)),FALSE()))</f>
        <v/>
      </c>
      <c r="K133" s="15" t="str">
        <f aca="false">IF(A133="","",IF(AND(H133="Y",COUNTIFS($C$2:C133,C133,$H$2:H133,"Y")=1),1,0))</f>
        <v/>
      </c>
      <c r="L133" s="8"/>
      <c r="M133" s="8"/>
    </row>
    <row r="134" customFormat="false" ht="15" hidden="false" customHeight="false" outlineLevel="0" collapsed="false">
      <c r="A134" s="13"/>
      <c r="B134" s="18"/>
      <c r="C134" s="13"/>
      <c r="D134" s="20" t="str">
        <f aca="false">IF(A134="","",SUMIFS(Quotes!$E$2:$E$301,Quotes!$B$2:$B$301,A134,Quotes!$C$2:$C$301,C134))</f>
        <v/>
      </c>
      <c r="E134" s="20" t="str">
        <f aca="false">IF(A134="","",IF(D134&lt;500,25,IF(D134&lt;=1500,75,199)))</f>
        <v/>
      </c>
      <c r="F134" s="15" t="str">
        <f aca="false">IF(B134="","",INT((B134-Settings!$B$2)/7)+1)</f>
        <v/>
      </c>
      <c r="G134" s="15" t="str">
        <f aca="false">IF(F134="","",F134&gt;=Settings!$B$5)</f>
        <v/>
      </c>
      <c r="H134" s="13"/>
      <c r="I134" s="13"/>
      <c r="J134" s="15" t="str">
        <f aca="false">IF(A134="","",IFERROR(INDEX(Requests!$E$2:$E$301,MATCH(A134,Requests!$A$2:$A$301,0)),FALSE()))</f>
        <v/>
      </c>
      <c r="K134" s="15" t="str">
        <f aca="false">IF(A134="","",IF(AND(H134="Y",COUNTIFS($C$2:C134,C134,$H$2:H134,"Y")=1),1,0))</f>
        <v/>
      </c>
      <c r="L134" s="8"/>
      <c r="M134" s="8"/>
    </row>
    <row r="135" customFormat="false" ht="15" hidden="false" customHeight="false" outlineLevel="0" collapsed="false">
      <c r="A135" s="13"/>
      <c r="B135" s="18"/>
      <c r="C135" s="13"/>
      <c r="D135" s="20" t="str">
        <f aca="false">IF(A135="","",SUMIFS(Quotes!$E$2:$E$301,Quotes!$B$2:$B$301,A135,Quotes!$C$2:$C$301,C135))</f>
        <v/>
      </c>
      <c r="E135" s="20" t="str">
        <f aca="false">IF(A135="","",IF(D135&lt;500,25,IF(D135&lt;=1500,75,199)))</f>
        <v/>
      </c>
      <c r="F135" s="15" t="str">
        <f aca="false">IF(B135="","",INT((B135-Settings!$B$2)/7)+1)</f>
        <v/>
      </c>
      <c r="G135" s="15" t="str">
        <f aca="false">IF(F135="","",F135&gt;=Settings!$B$5)</f>
        <v/>
      </c>
      <c r="H135" s="13"/>
      <c r="I135" s="13"/>
      <c r="J135" s="15" t="str">
        <f aca="false">IF(A135="","",IFERROR(INDEX(Requests!$E$2:$E$301,MATCH(A135,Requests!$A$2:$A$301,0)),FALSE()))</f>
        <v/>
      </c>
      <c r="K135" s="15" t="str">
        <f aca="false">IF(A135="","",IF(AND(H135="Y",COUNTIFS($C$2:C135,C135,$H$2:H135,"Y")=1),1,0))</f>
        <v/>
      </c>
      <c r="L135" s="8"/>
      <c r="M135" s="8"/>
    </row>
    <row r="136" customFormat="false" ht="15" hidden="false" customHeight="false" outlineLevel="0" collapsed="false">
      <c r="A136" s="13"/>
      <c r="B136" s="18"/>
      <c r="C136" s="13"/>
      <c r="D136" s="20" t="str">
        <f aca="false">IF(A136="","",SUMIFS(Quotes!$E$2:$E$301,Quotes!$B$2:$B$301,A136,Quotes!$C$2:$C$301,C136))</f>
        <v/>
      </c>
      <c r="E136" s="20" t="str">
        <f aca="false">IF(A136="","",IF(D136&lt;500,25,IF(D136&lt;=1500,75,199)))</f>
        <v/>
      </c>
      <c r="F136" s="15" t="str">
        <f aca="false">IF(B136="","",INT((B136-Settings!$B$2)/7)+1)</f>
        <v/>
      </c>
      <c r="G136" s="15" t="str">
        <f aca="false">IF(F136="","",F136&gt;=Settings!$B$5)</f>
        <v/>
      </c>
      <c r="H136" s="13"/>
      <c r="I136" s="13"/>
      <c r="J136" s="15" t="str">
        <f aca="false">IF(A136="","",IFERROR(INDEX(Requests!$E$2:$E$301,MATCH(A136,Requests!$A$2:$A$301,0)),FALSE()))</f>
        <v/>
      </c>
      <c r="K136" s="15" t="str">
        <f aca="false">IF(A136="","",IF(AND(H136="Y",COUNTIFS($C$2:C136,C136,$H$2:H136,"Y")=1),1,0))</f>
        <v/>
      </c>
      <c r="L136" s="8"/>
      <c r="M136" s="8"/>
    </row>
    <row r="137" customFormat="false" ht="15" hidden="false" customHeight="false" outlineLevel="0" collapsed="false">
      <c r="A137" s="13"/>
      <c r="B137" s="18"/>
      <c r="C137" s="13"/>
      <c r="D137" s="20" t="str">
        <f aca="false">IF(A137="","",SUMIFS(Quotes!$E$2:$E$301,Quotes!$B$2:$B$301,A137,Quotes!$C$2:$C$301,C137))</f>
        <v/>
      </c>
      <c r="E137" s="20" t="str">
        <f aca="false">IF(A137="","",IF(D137&lt;500,25,IF(D137&lt;=1500,75,199)))</f>
        <v/>
      </c>
      <c r="F137" s="15" t="str">
        <f aca="false">IF(B137="","",INT((B137-Settings!$B$2)/7)+1)</f>
        <v/>
      </c>
      <c r="G137" s="15" t="str">
        <f aca="false">IF(F137="","",F137&gt;=Settings!$B$5)</f>
        <v/>
      </c>
      <c r="H137" s="13"/>
      <c r="I137" s="13"/>
      <c r="J137" s="15" t="str">
        <f aca="false">IF(A137="","",IFERROR(INDEX(Requests!$E$2:$E$301,MATCH(A137,Requests!$A$2:$A$301,0)),FALSE()))</f>
        <v/>
      </c>
      <c r="K137" s="15" t="str">
        <f aca="false">IF(A137="","",IF(AND(H137="Y",COUNTIFS($C$2:C137,C137,$H$2:H137,"Y")=1),1,0))</f>
        <v/>
      </c>
      <c r="L137" s="8"/>
      <c r="M137" s="8"/>
    </row>
    <row r="138" customFormat="false" ht="15" hidden="false" customHeight="false" outlineLevel="0" collapsed="false">
      <c r="A138" s="13"/>
      <c r="B138" s="18"/>
      <c r="C138" s="13"/>
      <c r="D138" s="20" t="str">
        <f aca="false">IF(A138="","",SUMIFS(Quotes!$E$2:$E$301,Quotes!$B$2:$B$301,A138,Quotes!$C$2:$C$301,C138))</f>
        <v/>
      </c>
      <c r="E138" s="20" t="str">
        <f aca="false">IF(A138="","",IF(D138&lt;500,25,IF(D138&lt;=1500,75,199)))</f>
        <v/>
      </c>
      <c r="F138" s="15" t="str">
        <f aca="false">IF(B138="","",INT((B138-Settings!$B$2)/7)+1)</f>
        <v/>
      </c>
      <c r="G138" s="15" t="str">
        <f aca="false">IF(F138="","",F138&gt;=Settings!$B$5)</f>
        <v/>
      </c>
      <c r="H138" s="13"/>
      <c r="I138" s="13"/>
      <c r="J138" s="15" t="str">
        <f aca="false">IF(A138="","",IFERROR(INDEX(Requests!$E$2:$E$301,MATCH(A138,Requests!$A$2:$A$301,0)),FALSE()))</f>
        <v/>
      </c>
      <c r="K138" s="15" t="str">
        <f aca="false">IF(A138="","",IF(AND(H138="Y",COUNTIFS($C$2:C138,C138,$H$2:H138,"Y")=1),1,0))</f>
        <v/>
      </c>
      <c r="L138" s="8"/>
      <c r="M138" s="8"/>
    </row>
    <row r="139" customFormat="false" ht="15" hidden="false" customHeight="false" outlineLevel="0" collapsed="false">
      <c r="A139" s="13"/>
      <c r="B139" s="18"/>
      <c r="C139" s="13"/>
      <c r="D139" s="20" t="str">
        <f aca="false">IF(A139="","",SUMIFS(Quotes!$E$2:$E$301,Quotes!$B$2:$B$301,A139,Quotes!$C$2:$C$301,C139))</f>
        <v/>
      </c>
      <c r="E139" s="20" t="str">
        <f aca="false">IF(A139="","",IF(D139&lt;500,25,IF(D139&lt;=1500,75,199)))</f>
        <v/>
      </c>
      <c r="F139" s="15" t="str">
        <f aca="false">IF(B139="","",INT((B139-Settings!$B$2)/7)+1)</f>
        <v/>
      </c>
      <c r="G139" s="15" t="str">
        <f aca="false">IF(F139="","",F139&gt;=Settings!$B$5)</f>
        <v/>
      </c>
      <c r="H139" s="13"/>
      <c r="I139" s="13"/>
      <c r="J139" s="15" t="str">
        <f aca="false">IF(A139="","",IFERROR(INDEX(Requests!$E$2:$E$301,MATCH(A139,Requests!$A$2:$A$301,0)),FALSE()))</f>
        <v/>
      </c>
      <c r="K139" s="15" t="str">
        <f aca="false">IF(A139="","",IF(AND(H139="Y",COUNTIFS($C$2:C139,C139,$H$2:H139,"Y")=1),1,0))</f>
        <v/>
      </c>
      <c r="L139" s="8"/>
      <c r="M139" s="8"/>
    </row>
    <row r="140" customFormat="false" ht="15" hidden="false" customHeight="false" outlineLevel="0" collapsed="false">
      <c r="A140" s="13"/>
      <c r="B140" s="18"/>
      <c r="C140" s="13"/>
      <c r="D140" s="20" t="str">
        <f aca="false">IF(A140="","",SUMIFS(Quotes!$E$2:$E$301,Quotes!$B$2:$B$301,A140,Quotes!$C$2:$C$301,C140))</f>
        <v/>
      </c>
      <c r="E140" s="20" t="str">
        <f aca="false">IF(A140="","",IF(D140&lt;500,25,IF(D140&lt;=1500,75,199)))</f>
        <v/>
      </c>
      <c r="F140" s="15" t="str">
        <f aca="false">IF(B140="","",INT((B140-Settings!$B$2)/7)+1)</f>
        <v/>
      </c>
      <c r="G140" s="15" t="str">
        <f aca="false">IF(F140="","",F140&gt;=Settings!$B$5)</f>
        <v/>
      </c>
      <c r="H140" s="13"/>
      <c r="I140" s="13"/>
      <c r="J140" s="15" t="str">
        <f aca="false">IF(A140="","",IFERROR(INDEX(Requests!$E$2:$E$301,MATCH(A140,Requests!$A$2:$A$301,0)),FALSE()))</f>
        <v/>
      </c>
      <c r="K140" s="15" t="str">
        <f aca="false">IF(A140="","",IF(AND(H140="Y",COUNTIFS($C$2:C140,C140,$H$2:H140,"Y")=1),1,0))</f>
        <v/>
      </c>
      <c r="L140" s="8"/>
      <c r="M140" s="8"/>
    </row>
    <row r="141" customFormat="false" ht="15" hidden="false" customHeight="false" outlineLevel="0" collapsed="false">
      <c r="A141" s="13"/>
      <c r="B141" s="18"/>
      <c r="C141" s="13"/>
      <c r="D141" s="20" t="str">
        <f aca="false">IF(A141="","",SUMIFS(Quotes!$E$2:$E$301,Quotes!$B$2:$B$301,A141,Quotes!$C$2:$C$301,C141))</f>
        <v/>
      </c>
      <c r="E141" s="20" t="str">
        <f aca="false">IF(A141="","",IF(D141&lt;500,25,IF(D141&lt;=1500,75,199)))</f>
        <v/>
      </c>
      <c r="F141" s="15" t="str">
        <f aca="false">IF(B141="","",INT((B141-Settings!$B$2)/7)+1)</f>
        <v/>
      </c>
      <c r="G141" s="15" t="str">
        <f aca="false">IF(F141="","",F141&gt;=Settings!$B$5)</f>
        <v/>
      </c>
      <c r="H141" s="13"/>
      <c r="I141" s="13"/>
      <c r="J141" s="15" t="str">
        <f aca="false">IF(A141="","",IFERROR(INDEX(Requests!$E$2:$E$301,MATCH(A141,Requests!$A$2:$A$301,0)),FALSE()))</f>
        <v/>
      </c>
      <c r="K141" s="15" t="str">
        <f aca="false">IF(A141="","",IF(AND(H141="Y",COUNTIFS($C$2:C141,C141,$H$2:H141,"Y")=1),1,0))</f>
        <v/>
      </c>
      <c r="L141" s="8"/>
      <c r="M141" s="8"/>
    </row>
    <row r="142" customFormat="false" ht="15" hidden="false" customHeight="false" outlineLevel="0" collapsed="false">
      <c r="A142" s="13"/>
      <c r="B142" s="18"/>
      <c r="C142" s="13"/>
      <c r="D142" s="20" t="str">
        <f aca="false">IF(A142="","",SUMIFS(Quotes!$E$2:$E$301,Quotes!$B$2:$B$301,A142,Quotes!$C$2:$C$301,C142))</f>
        <v/>
      </c>
      <c r="E142" s="20" t="str">
        <f aca="false">IF(A142="","",IF(D142&lt;500,25,IF(D142&lt;=1500,75,199)))</f>
        <v/>
      </c>
      <c r="F142" s="15" t="str">
        <f aca="false">IF(B142="","",INT((B142-Settings!$B$2)/7)+1)</f>
        <v/>
      </c>
      <c r="G142" s="15" t="str">
        <f aca="false">IF(F142="","",F142&gt;=Settings!$B$5)</f>
        <v/>
      </c>
      <c r="H142" s="13"/>
      <c r="I142" s="13"/>
      <c r="J142" s="15" t="str">
        <f aca="false">IF(A142="","",IFERROR(INDEX(Requests!$E$2:$E$301,MATCH(A142,Requests!$A$2:$A$301,0)),FALSE()))</f>
        <v/>
      </c>
      <c r="K142" s="15" t="str">
        <f aca="false">IF(A142="","",IF(AND(H142="Y",COUNTIFS($C$2:C142,C142,$H$2:H142,"Y")=1),1,0))</f>
        <v/>
      </c>
      <c r="L142" s="8"/>
      <c r="M142" s="8"/>
    </row>
    <row r="143" customFormat="false" ht="15" hidden="false" customHeight="false" outlineLevel="0" collapsed="false">
      <c r="A143" s="13"/>
      <c r="B143" s="18"/>
      <c r="C143" s="13"/>
      <c r="D143" s="20" t="str">
        <f aca="false">IF(A143="","",SUMIFS(Quotes!$E$2:$E$301,Quotes!$B$2:$B$301,A143,Quotes!$C$2:$C$301,C143))</f>
        <v/>
      </c>
      <c r="E143" s="20" t="str">
        <f aca="false">IF(A143="","",IF(D143&lt;500,25,IF(D143&lt;=1500,75,199)))</f>
        <v/>
      </c>
      <c r="F143" s="15" t="str">
        <f aca="false">IF(B143="","",INT((B143-Settings!$B$2)/7)+1)</f>
        <v/>
      </c>
      <c r="G143" s="15" t="str">
        <f aca="false">IF(F143="","",F143&gt;=Settings!$B$5)</f>
        <v/>
      </c>
      <c r="H143" s="13"/>
      <c r="I143" s="13"/>
      <c r="J143" s="15" t="str">
        <f aca="false">IF(A143="","",IFERROR(INDEX(Requests!$E$2:$E$301,MATCH(A143,Requests!$A$2:$A$301,0)),FALSE()))</f>
        <v/>
      </c>
      <c r="K143" s="15" t="str">
        <f aca="false">IF(A143="","",IF(AND(H143="Y",COUNTIFS($C$2:C143,C143,$H$2:H143,"Y")=1),1,0))</f>
        <v/>
      </c>
      <c r="L143" s="8"/>
      <c r="M143" s="8"/>
    </row>
    <row r="144" customFormat="false" ht="15" hidden="false" customHeight="false" outlineLevel="0" collapsed="false">
      <c r="A144" s="13"/>
      <c r="B144" s="18"/>
      <c r="C144" s="13"/>
      <c r="D144" s="20" t="str">
        <f aca="false">IF(A144="","",SUMIFS(Quotes!$E$2:$E$301,Quotes!$B$2:$B$301,A144,Quotes!$C$2:$C$301,C144))</f>
        <v/>
      </c>
      <c r="E144" s="20" t="str">
        <f aca="false">IF(A144="","",IF(D144&lt;500,25,IF(D144&lt;=1500,75,199)))</f>
        <v/>
      </c>
      <c r="F144" s="15" t="str">
        <f aca="false">IF(B144="","",INT((B144-Settings!$B$2)/7)+1)</f>
        <v/>
      </c>
      <c r="G144" s="15" t="str">
        <f aca="false">IF(F144="","",F144&gt;=Settings!$B$5)</f>
        <v/>
      </c>
      <c r="H144" s="13"/>
      <c r="I144" s="13"/>
      <c r="J144" s="15" t="str">
        <f aca="false">IF(A144="","",IFERROR(INDEX(Requests!$E$2:$E$301,MATCH(A144,Requests!$A$2:$A$301,0)),FALSE()))</f>
        <v/>
      </c>
      <c r="K144" s="15" t="str">
        <f aca="false">IF(A144="","",IF(AND(H144="Y",COUNTIFS($C$2:C144,C144,$H$2:H144,"Y")=1),1,0))</f>
        <v/>
      </c>
      <c r="L144" s="8"/>
      <c r="M144" s="8"/>
    </row>
    <row r="145" customFormat="false" ht="15" hidden="false" customHeight="false" outlineLevel="0" collapsed="false">
      <c r="A145" s="13"/>
      <c r="B145" s="18"/>
      <c r="C145" s="13"/>
      <c r="D145" s="20" t="str">
        <f aca="false">IF(A145="","",SUMIFS(Quotes!$E$2:$E$301,Quotes!$B$2:$B$301,A145,Quotes!$C$2:$C$301,C145))</f>
        <v/>
      </c>
      <c r="E145" s="20" t="str">
        <f aca="false">IF(A145="","",IF(D145&lt;500,25,IF(D145&lt;=1500,75,199)))</f>
        <v/>
      </c>
      <c r="F145" s="15" t="str">
        <f aca="false">IF(B145="","",INT((B145-Settings!$B$2)/7)+1)</f>
        <v/>
      </c>
      <c r="G145" s="15" t="str">
        <f aca="false">IF(F145="","",F145&gt;=Settings!$B$5)</f>
        <v/>
      </c>
      <c r="H145" s="13"/>
      <c r="I145" s="13"/>
      <c r="J145" s="15" t="str">
        <f aca="false">IF(A145="","",IFERROR(INDEX(Requests!$E$2:$E$301,MATCH(A145,Requests!$A$2:$A$301,0)),FALSE()))</f>
        <v/>
      </c>
      <c r="K145" s="15" t="str">
        <f aca="false">IF(A145="","",IF(AND(H145="Y",COUNTIFS($C$2:C145,C145,$H$2:H145,"Y")=1),1,0))</f>
        <v/>
      </c>
      <c r="L145" s="8"/>
      <c r="M145" s="8"/>
    </row>
    <row r="146" customFormat="false" ht="15" hidden="false" customHeight="false" outlineLevel="0" collapsed="false">
      <c r="A146" s="13"/>
      <c r="B146" s="18"/>
      <c r="C146" s="13"/>
      <c r="D146" s="20" t="str">
        <f aca="false">IF(A146="","",SUMIFS(Quotes!$E$2:$E$301,Quotes!$B$2:$B$301,A146,Quotes!$C$2:$C$301,C146))</f>
        <v/>
      </c>
      <c r="E146" s="20" t="str">
        <f aca="false">IF(A146="","",IF(D146&lt;500,25,IF(D146&lt;=1500,75,199)))</f>
        <v/>
      </c>
      <c r="F146" s="15" t="str">
        <f aca="false">IF(B146="","",INT((B146-Settings!$B$2)/7)+1)</f>
        <v/>
      </c>
      <c r="G146" s="15" t="str">
        <f aca="false">IF(F146="","",F146&gt;=Settings!$B$5)</f>
        <v/>
      </c>
      <c r="H146" s="13"/>
      <c r="I146" s="13"/>
      <c r="J146" s="15" t="str">
        <f aca="false">IF(A146="","",IFERROR(INDEX(Requests!$E$2:$E$301,MATCH(A146,Requests!$A$2:$A$301,0)),FALSE()))</f>
        <v/>
      </c>
      <c r="K146" s="15" t="str">
        <f aca="false">IF(A146="","",IF(AND(H146="Y",COUNTIFS($C$2:C146,C146,$H$2:H146,"Y")=1),1,0))</f>
        <v/>
      </c>
      <c r="L146" s="8"/>
      <c r="M146" s="8"/>
    </row>
    <row r="147" customFormat="false" ht="15" hidden="false" customHeight="false" outlineLevel="0" collapsed="false">
      <c r="A147" s="13"/>
      <c r="B147" s="18"/>
      <c r="C147" s="13"/>
      <c r="D147" s="20" t="str">
        <f aca="false">IF(A147="","",SUMIFS(Quotes!$E$2:$E$301,Quotes!$B$2:$B$301,A147,Quotes!$C$2:$C$301,C147))</f>
        <v/>
      </c>
      <c r="E147" s="20" t="str">
        <f aca="false">IF(A147="","",IF(D147&lt;500,25,IF(D147&lt;=1500,75,199)))</f>
        <v/>
      </c>
      <c r="F147" s="15" t="str">
        <f aca="false">IF(B147="","",INT((B147-Settings!$B$2)/7)+1)</f>
        <v/>
      </c>
      <c r="G147" s="15" t="str">
        <f aca="false">IF(F147="","",F147&gt;=Settings!$B$5)</f>
        <v/>
      </c>
      <c r="H147" s="13"/>
      <c r="I147" s="13"/>
      <c r="J147" s="15" t="str">
        <f aca="false">IF(A147="","",IFERROR(INDEX(Requests!$E$2:$E$301,MATCH(A147,Requests!$A$2:$A$301,0)),FALSE()))</f>
        <v/>
      </c>
      <c r="K147" s="15" t="str">
        <f aca="false">IF(A147="","",IF(AND(H147="Y",COUNTIFS($C$2:C147,C147,$H$2:H147,"Y")=1),1,0))</f>
        <v/>
      </c>
      <c r="L147" s="8"/>
      <c r="M147" s="8"/>
    </row>
    <row r="148" customFormat="false" ht="15" hidden="false" customHeight="false" outlineLevel="0" collapsed="false">
      <c r="A148" s="13"/>
      <c r="B148" s="18"/>
      <c r="C148" s="13"/>
      <c r="D148" s="20" t="str">
        <f aca="false">IF(A148="","",SUMIFS(Quotes!$E$2:$E$301,Quotes!$B$2:$B$301,A148,Quotes!$C$2:$C$301,C148))</f>
        <v/>
      </c>
      <c r="E148" s="20" t="str">
        <f aca="false">IF(A148="","",IF(D148&lt;500,25,IF(D148&lt;=1500,75,199)))</f>
        <v/>
      </c>
      <c r="F148" s="15" t="str">
        <f aca="false">IF(B148="","",INT((B148-Settings!$B$2)/7)+1)</f>
        <v/>
      </c>
      <c r="G148" s="15" t="str">
        <f aca="false">IF(F148="","",F148&gt;=Settings!$B$5)</f>
        <v/>
      </c>
      <c r="H148" s="13"/>
      <c r="I148" s="13"/>
      <c r="J148" s="15" t="str">
        <f aca="false">IF(A148="","",IFERROR(INDEX(Requests!$E$2:$E$301,MATCH(A148,Requests!$A$2:$A$301,0)),FALSE()))</f>
        <v/>
      </c>
      <c r="K148" s="15" t="str">
        <f aca="false">IF(A148="","",IF(AND(H148="Y",COUNTIFS($C$2:C148,C148,$H$2:H148,"Y")=1),1,0))</f>
        <v/>
      </c>
      <c r="L148" s="8"/>
      <c r="M148" s="8"/>
    </row>
    <row r="149" customFormat="false" ht="15" hidden="false" customHeight="false" outlineLevel="0" collapsed="false">
      <c r="A149" s="13"/>
      <c r="B149" s="18"/>
      <c r="C149" s="13"/>
      <c r="D149" s="20" t="str">
        <f aca="false">IF(A149="","",SUMIFS(Quotes!$E$2:$E$301,Quotes!$B$2:$B$301,A149,Quotes!$C$2:$C$301,C149))</f>
        <v/>
      </c>
      <c r="E149" s="20" t="str">
        <f aca="false">IF(A149="","",IF(D149&lt;500,25,IF(D149&lt;=1500,75,199)))</f>
        <v/>
      </c>
      <c r="F149" s="15" t="str">
        <f aca="false">IF(B149="","",INT((B149-Settings!$B$2)/7)+1)</f>
        <v/>
      </c>
      <c r="G149" s="15" t="str">
        <f aca="false">IF(F149="","",F149&gt;=Settings!$B$5)</f>
        <v/>
      </c>
      <c r="H149" s="13"/>
      <c r="I149" s="13"/>
      <c r="J149" s="15" t="str">
        <f aca="false">IF(A149="","",IFERROR(INDEX(Requests!$E$2:$E$301,MATCH(A149,Requests!$A$2:$A$301,0)),FALSE()))</f>
        <v/>
      </c>
      <c r="K149" s="15" t="str">
        <f aca="false">IF(A149="","",IF(AND(H149="Y",COUNTIFS($C$2:C149,C149,$H$2:H149,"Y")=1),1,0))</f>
        <v/>
      </c>
      <c r="L149" s="8"/>
      <c r="M149" s="8"/>
    </row>
    <row r="150" customFormat="false" ht="15" hidden="false" customHeight="false" outlineLevel="0" collapsed="false">
      <c r="A150" s="13"/>
      <c r="B150" s="18"/>
      <c r="C150" s="13"/>
      <c r="D150" s="20" t="str">
        <f aca="false">IF(A150="","",SUMIFS(Quotes!$E$2:$E$301,Quotes!$B$2:$B$301,A150,Quotes!$C$2:$C$301,C150))</f>
        <v/>
      </c>
      <c r="E150" s="20" t="str">
        <f aca="false">IF(A150="","",IF(D150&lt;500,25,IF(D150&lt;=1500,75,199)))</f>
        <v/>
      </c>
      <c r="F150" s="15" t="str">
        <f aca="false">IF(B150="","",INT((B150-Settings!$B$2)/7)+1)</f>
        <v/>
      </c>
      <c r="G150" s="15" t="str">
        <f aca="false">IF(F150="","",F150&gt;=Settings!$B$5)</f>
        <v/>
      </c>
      <c r="H150" s="13"/>
      <c r="I150" s="13"/>
      <c r="J150" s="15" t="str">
        <f aca="false">IF(A150="","",IFERROR(INDEX(Requests!$E$2:$E$301,MATCH(A150,Requests!$A$2:$A$301,0)),FALSE()))</f>
        <v/>
      </c>
      <c r="K150" s="15" t="str">
        <f aca="false">IF(A150="","",IF(AND(H150="Y",COUNTIFS($C$2:C150,C150,$H$2:H150,"Y")=1),1,0))</f>
        <v/>
      </c>
      <c r="L150" s="8"/>
      <c r="M150" s="8"/>
    </row>
    <row r="151" customFormat="false" ht="15" hidden="false" customHeight="false" outlineLevel="0" collapsed="false">
      <c r="A151" s="13"/>
      <c r="B151" s="18"/>
      <c r="C151" s="13"/>
      <c r="D151" s="20" t="str">
        <f aca="false">IF(A151="","",SUMIFS(Quotes!$E$2:$E$301,Quotes!$B$2:$B$301,A151,Quotes!$C$2:$C$301,C151))</f>
        <v/>
      </c>
      <c r="E151" s="20" t="str">
        <f aca="false">IF(A151="","",IF(D151&lt;500,25,IF(D151&lt;=1500,75,199)))</f>
        <v/>
      </c>
      <c r="F151" s="15" t="str">
        <f aca="false">IF(B151="","",INT((B151-Settings!$B$2)/7)+1)</f>
        <v/>
      </c>
      <c r="G151" s="15" t="str">
        <f aca="false">IF(F151="","",F151&gt;=Settings!$B$5)</f>
        <v/>
      </c>
      <c r="H151" s="13"/>
      <c r="I151" s="13"/>
      <c r="J151" s="15" t="str">
        <f aca="false">IF(A151="","",IFERROR(INDEX(Requests!$E$2:$E$301,MATCH(A151,Requests!$A$2:$A$301,0)),FALSE()))</f>
        <v/>
      </c>
      <c r="K151" s="15" t="str">
        <f aca="false">IF(A151="","",IF(AND(H151="Y",COUNTIFS($C$2:C151,C151,$H$2:H151,"Y")=1),1,0))</f>
        <v/>
      </c>
      <c r="L151" s="8"/>
      <c r="M151" s="8"/>
    </row>
    <row r="152" customFormat="false" ht="15" hidden="false" customHeight="false" outlineLevel="0" collapsed="false">
      <c r="A152" s="13"/>
      <c r="B152" s="18"/>
      <c r="C152" s="13"/>
      <c r="D152" s="20" t="str">
        <f aca="false">IF(A152="","",SUMIFS(Quotes!$E$2:$E$301,Quotes!$B$2:$B$301,A152,Quotes!$C$2:$C$301,C152))</f>
        <v/>
      </c>
      <c r="E152" s="20" t="str">
        <f aca="false">IF(A152="","",IF(D152&lt;500,25,IF(D152&lt;=1500,75,199)))</f>
        <v/>
      </c>
      <c r="F152" s="15" t="str">
        <f aca="false">IF(B152="","",INT((B152-Settings!$B$2)/7)+1)</f>
        <v/>
      </c>
      <c r="G152" s="15" t="str">
        <f aca="false">IF(F152="","",F152&gt;=Settings!$B$5)</f>
        <v/>
      </c>
      <c r="H152" s="13"/>
      <c r="I152" s="13"/>
      <c r="J152" s="15" t="str">
        <f aca="false">IF(A152="","",IFERROR(INDEX(Requests!$E$2:$E$301,MATCH(A152,Requests!$A$2:$A$301,0)),FALSE()))</f>
        <v/>
      </c>
      <c r="K152" s="15" t="str">
        <f aca="false">IF(A152="","",IF(AND(H152="Y",COUNTIFS($C$2:C152,C152,$H$2:H152,"Y")=1),1,0))</f>
        <v/>
      </c>
      <c r="L152" s="8"/>
      <c r="M152" s="8"/>
    </row>
    <row r="153" customFormat="false" ht="15" hidden="false" customHeight="false" outlineLevel="0" collapsed="false">
      <c r="A153" s="13"/>
      <c r="B153" s="18"/>
      <c r="C153" s="13"/>
      <c r="D153" s="20" t="str">
        <f aca="false">IF(A153="","",SUMIFS(Quotes!$E$2:$E$301,Quotes!$B$2:$B$301,A153,Quotes!$C$2:$C$301,C153))</f>
        <v/>
      </c>
      <c r="E153" s="20" t="str">
        <f aca="false">IF(A153="","",IF(D153&lt;500,25,IF(D153&lt;=1500,75,199)))</f>
        <v/>
      </c>
      <c r="F153" s="15" t="str">
        <f aca="false">IF(B153="","",INT((B153-Settings!$B$2)/7)+1)</f>
        <v/>
      </c>
      <c r="G153" s="15" t="str">
        <f aca="false">IF(F153="","",F153&gt;=Settings!$B$5)</f>
        <v/>
      </c>
      <c r="H153" s="13"/>
      <c r="I153" s="13"/>
      <c r="J153" s="15" t="str">
        <f aca="false">IF(A153="","",IFERROR(INDEX(Requests!$E$2:$E$301,MATCH(A153,Requests!$A$2:$A$301,0)),FALSE()))</f>
        <v/>
      </c>
      <c r="K153" s="15" t="str">
        <f aca="false">IF(A153="","",IF(AND(H153="Y",COUNTIFS($C$2:C153,C153,$H$2:H153,"Y")=1),1,0))</f>
        <v/>
      </c>
      <c r="L153" s="8"/>
      <c r="M153" s="8"/>
    </row>
    <row r="154" customFormat="false" ht="15" hidden="false" customHeight="false" outlineLevel="0" collapsed="false">
      <c r="A154" s="13"/>
      <c r="B154" s="18"/>
      <c r="C154" s="13"/>
      <c r="D154" s="20" t="str">
        <f aca="false">IF(A154="","",SUMIFS(Quotes!$E$2:$E$301,Quotes!$B$2:$B$301,A154,Quotes!$C$2:$C$301,C154))</f>
        <v/>
      </c>
      <c r="E154" s="20" t="str">
        <f aca="false">IF(A154="","",IF(D154&lt;500,25,IF(D154&lt;=1500,75,199)))</f>
        <v/>
      </c>
      <c r="F154" s="15" t="str">
        <f aca="false">IF(B154="","",INT((B154-Settings!$B$2)/7)+1)</f>
        <v/>
      </c>
      <c r="G154" s="15" t="str">
        <f aca="false">IF(F154="","",F154&gt;=Settings!$B$5)</f>
        <v/>
      </c>
      <c r="H154" s="13"/>
      <c r="I154" s="13"/>
      <c r="J154" s="15" t="str">
        <f aca="false">IF(A154="","",IFERROR(INDEX(Requests!$E$2:$E$301,MATCH(A154,Requests!$A$2:$A$301,0)),FALSE()))</f>
        <v/>
      </c>
      <c r="K154" s="15" t="str">
        <f aca="false">IF(A154="","",IF(AND(H154="Y",COUNTIFS($C$2:C154,C154,$H$2:H154,"Y")=1),1,0))</f>
        <v/>
      </c>
      <c r="L154" s="8"/>
      <c r="M154" s="8"/>
    </row>
    <row r="155" customFormat="false" ht="15" hidden="false" customHeight="false" outlineLevel="0" collapsed="false">
      <c r="A155" s="13"/>
      <c r="B155" s="18"/>
      <c r="C155" s="13"/>
      <c r="D155" s="20" t="str">
        <f aca="false">IF(A155="","",SUMIFS(Quotes!$E$2:$E$301,Quotes!$B$2:$B$301,A155,Quotes!$C$2:$C$301,C155))</f>
        <v/>
      </c>
      <c r="E155" s="20" t="str">
        <f aca="false">IF(A155="","",IF(D155&lt;500,25,IF(D155&lt;=1500,75,199)))</f>
        <v/>
      </c>
      <c r="F155" s="15" t="str">
        <f aca="false">IF(B155="","",INT((B155-Settings!$B$2)/7)+1)</f>
        <v/>
      </c>
      <c r="G155" s="15" t="str">
        <f aca="false">IF(F155="","",F155&gt;=Settings!$B$5)</f>
        <v/>
      </c>
      <c r="H155" s="13"/>
      <c r="I155" s="13"/>
      <c r="J155" s="15" t="str">
        <f aca="false">IF(A155="","",IFERROR(INDEX(Requests!$E$2:$E$301,MATCH(A155,Requests!$A$2:$A$301,0)),FALSE()))</f>
        <v/>
      </c>
      <c r="K155" s="15" t="str">
        <f aca="false">IF(A155="","",IF(AND(H155="Y",COUNTIFS($C$2:C155,C155,$H$2:H155,"Y")=1),1,0))</f>
        <v/>
      </c>
      <c r="L155" s="8"/>
      <c r="M155" s="8"/>
    </row>
    <row r="156" customFormat="false" ht="15" hidden="false" customHeight="false" outlineLevel="0" collapsed="false">
      <c r="A156" s="13"/>
      <c r="B156" s="18"/>
      <c r="C156" s="13"/>
      <c r="D156" s="20" t="str">
        <f aca="false">IF(A156="","",SUMIFS(Quotes!$E$2:$E$301,Quotes!$B$2:$B$301,A156,Quotes!$C$2:$C$301,C156))</f>
        <v/>
      </c>
      <c r="E156" s="20" t="str">
        <f aca="false">IF(A156="","",IF(D156&lt;500,25,IF(D156&lt;=1500,75,199)))</f>
        <v/>
      </c>
      <c r="F156" s="15" t="str">
        <f aca="false">IF(B156="","",INT((B156-Settings!$B$2)/7)+1)</f>
        <v/>
      </c>
      <c r="G156" s="15" t="str">
        <f aca="false">IF(F156="","",F156&gt;=Settings!$B$5)</f>
        <v/>
      </c>
      <c r="H156" s="13"/>
      <c r="I156" s="13"/>
      <c r="J156" s="15" t="str">
        <f aca="false">IF(A156="","",IFERROR(INDEX(Requests!$E$2:$E$301,MATCH(A156,Requests!$A$2:$A$301,0)),FALSE()))</f>
        <v/>
      </c>
      <c r="K156" s="15" t="str">
        <f aca="false">IF(A156="","",IF(AND(H156="Y",COUNTIFS($C$2:C156,C156,$H$2:H156,"Y")=1),1,0))</f>
        <v/>
      </c>
      <c r="L156" s="8"/>
      <c r="M156" s="8"/>
    </row>
    <row r="157" customFormat="false" ht="15" hidden="false" customHeight="false" outlineLevel="0" collapsed="false">
      <c r="A157" s="13"/>
      <c r="B157" s="18"/>
      <c r="C157" s="13"/>
      <c r="D157" s="20" t="str">
        <f aca="false">IF(A157="","",SUMIFS(Quotes!$E$2:$E$301,Quotes!$B$2:$B$301,A157,Quotes!$C$2:$C$301,C157))</f>
        <v/>
      </c>
      <c r="E157" s="20" t="str">
        <f aca="false">IF(A157="","",IF(D157&lt;500,25,IF(D157&lt;=1500,75,199)))</f>
        <v/>
      </c>
      <c r="F157" s="15" t="str">
        <f aca="false">IF(B157="","",INT((B157-Settings!$B$2)/7)+1)</f>
        <v/>
      </c>
      <c r="G157" s="15" t="str">
        <f aca="false">IF(F157="","",F157&gt;=Settings!$B$5)</f>
        <v/>
      </c>
      <c r="H157" s="13"/>
      <c r="I157" s="13"/>
      <c r="J157" s="15" t="str">
        <f aca="false">IF(A157="","",IFERROR(INDEX(Requests!$E$2:$E$301,MATCH(A157,Requests!$A$2:$A$301,0)),FALSE()))</f>
        <v/>
      </c>
      <c r="K157" s="15" t="str">
        <f aca="false">IF(A157="","",IF(AND(H157="Y",COUNTIFS($C$2:C157,C157,$H$2:H157,"Y")=1),1,0))</f>
        <v/>
      </c>
      <c r="L157" s="8"/>
      <c r="M157" s="8"/>
    </row>
    <row r="158" customFormat="false" ht="15" hidden="false" customHeight="false" outlineLevel="0" collapsed="false">
      <c r="A158" s="13"/>
      <c r="B158" s="18"/>
      <c r="C158" s="13"/>
      <c r="D158" s="20" t="str">
        <f aca="false">IF(A158="","",SUMIFS(Quotes!$E$2:$E$301,Quotes!$B$2:$B$301,A158,Quotes!$C$2:$C$301,C158))</f>
        <v/>
      </c>
      <c r="E158" s="20" t="str">
        <f aca="false">IF(A158="","",IF(D158&lt;500,25,IF(D158&lt;=1500,75,199)))</f>
        <v/>
      </c>
      <c r="F158" s="15" t="str">
        <f aca="false">IF(B158="","",INT((B158-Settings!$B$2)/7)+1)</f>
        <v/>
      </c>
      <c r="G158" s="15" t="str">
        <f aca="false">IF(F158="","",F158&gt;=Settings!$B$5)</f>
        <v/>
      </c>
      <c r="H158" s="13"/>
      <c r="I158" s="13"/>
      <c r="J158" s="15" t="str">
        <f aca="false">IF(A158="","",IFERROR(INDEX(Requests!$E$2:$E$301,MATCH(A158,Requests!$A$2:$A$301,0)),FALSE()))</f>
        <v/>
      </c>
      <c r="K158" s="15" t="str">
        <f aca="false">IF(A158="","",IF(AND(H158="Y",COUNTIFS($C$2:C158,C158,$H$2:H158,"Y")=1),1,0))</f>
        <v/>
      </c>
      <c r="L158" s="8"/>
      <c r="M158" s="8"/>
    </row>
    <row r="159" customFormat="false" ht="15" hidden="false" customHeight="false" outlineLevel="0" collapsed="false">
      <c r="A159" s="13"/>
      <c r="B159" s="18"/>
      <c r="C159" s="13"/>
      <c r="D159" s="20" t="str">
        <f aca="false">IF(A159="","",SUMIFS(Quotes!$E$2:$E$301,Quotes!$B$2:$B$301,A159,Quotes!$C$2:$C$301,C159))</f>
        <v/>
      </c>
      <c r="E159" s="20" t="str">
        <f aca="false">IF(A159="","",IF(D159&lt;500,25,IF(D159&lt;=1500,75,199)))</f>
        <v/>
      </c>
      <c r="F159" s="15" t="str">
        <f aca="false">IF(B159="","",INT((B159-Settings!$B$2)/7)+1)</f>
        <v/>
      </c>
      <c r="G159" s="15" t="str">
        <f aca="false">IF(F159="","",F159&gt;=Settings!$B$5)</f>
        <v/>
      </c>
      <c r="H159" s="13"/>
      <c r="I159" s="13"/>
      <c r="J159" s="15" t="str">
        <f aca="false">IF(A159="","",IFERROR(INDEX(Requests!$E$2:$E$301,MATCH(A159,Requests!$A$2:$A$301,0)),FALSE()))</f>
        <v/>
      </c>
      <c r="K159" s="15" t="str">
        <f aca="false">IF(A159="","",IF(AND(H159="Y",COUNTIFS($C$2:C159,C159,$H$2:H159,"Y")=1),1,0))</f>
        <v/>
      </c>
      <c r="L159" s="8"/>
      <c r="M159" s="8"/>
    </row>
    <row r="160" customFormat="false" ht="15" hidden="false" customHeight="false" outlineLevel="0" collapsed="false">
      <c r="A160" s="13"/>
      <c r="B160" s="18"/>
      <c r="C160" s="13"/>
      <c r="D160" s="20" t="str">
        <f aca="false">IF(A160="","",SUMIFS(Quotes!$E$2:$E$301,Quotes!$B$2:$B$301,A160,Quotes!$C$2:$C$301,C160))</f>
        <v/>
      </c>
      <c r="E160" s="20" t="str">
        <f aca="false">IF(A160="","",IF(D160&lt;500,25,IF(D160&lt;=1500,75,199)))</f>
        <v/>
      </c>
      <c r="F160" s="15" t="str">
        <f aca="false">IF(B160="","",INT((B160-Settings!$B$2)/7)+1)</f>
        <v/>
      </c>
      <c r="G160" s="15" t="str">
        <f aca="false">IF(F160="","",F160&gt;=Settings!$B$5)</f>
        <v/>
      </c>
      <c r="H160" s="13"/>
      <c r="I160" s="13"/>
      <c r="J160" s="15" t="str">
        <f aca="false">IF(A160="","",IFERROR(INDEX(Requests!$E$2:$E$301,MATCH(A160,Requests!$A$2:$A$301,0)),FALSE()))</f>
        <v/>
      </c>
      <c r="K160" s="15" t="str">
        <f aca="false">IF(A160="","",IF(AND(H160="Y",COUNTIFS($C$2:C160,C160,$H$2:H160,"Y")=1),1,0))</f>
        <v/>
      </c>
      <c r="L160" s="8"/>
      <c r="M160" s="8"/>
    </row>
    <row r="161" customFormat="false" ht="15" hidden="false" customHeight="false" outlineLevel="0" collapsed="false">
      <c r="A161" s="13"/>
      <c r="B161" s="18"/>
      <c r="C161" s="13"/>
      <c r="D161" s="20" t="str">
        <f aca="false">IF(A161="","",SUMIFS(Quotes!$E$2:$E$301,Quotes!$B$2:$B$301,A161,Quotes!$C$2:$C$301,C161))</f>
        <v/>
      </c>
      <c r="E161" s="20" t="str">
        <f aca="false">IF(A161="","",IF(D161&lt;500,25,IF(D161&lt;=1500,75,199)))</f>
        <v/>
      </c>
      <c r="F161" s="15" t="str">
        <f aca="false">IF(B161="","",INT((B161-Settings!$B$2)/7)+1)</f>
        <v/>
      </c>
      <c r="G161" s="15" t="str">
        <f aca="false">IF(F161="","",F161&gt;=Settings!$B$5)</f>
        <v/>
      </c>
      <c r="H161" s="13"/>
      <c r="I161" s="13"/>
      <c r="J161" s="15" t="str">
        <f aca="false">IF(A161="","",IFERROR(INDEX(Requests!$E$2:$E$301,MATCH(A161,Requests!$A$2:$A$301,0)),FALSE()))</f>
        <v/>
      </c>
      <c r="K161" s="15" t="str">
        <f aca="false">IF(A161="","",IF(AND(H161="Y",COUNTIFS($C$2:C161,C161,$H$2:H161,"Y")=1),1,0))</f>
        <v/>
      </c>
      <c r="L161" s="8"/>
      <c r="M161" s="8"/>
    </row>
    <row r="162" customFormat="false" ht="15" hidden="false" customHeight="false" outlineLevel="0" collapsed="false">
      <c r="A162" s="13"/>
      <c r="B162" s="18"/>
      <c r="C162" s="13"/>
      <c r="D162" s="20" t="str">
        <f aca="false">IF(A162="","",SUMIFS(Quotes!$E$2:$E$301,Quotes!$B$2:$B$301,A162,Quotes!$C$2:$C$301,C162))</f>
        <v/>
      </c>
      <c r="E162" s="20" t="str">
        <f aca="false">IF(A162="","",IF(D162&lt;500,25,IF(D162&lt;=1500,75,199)))</f>
        <v/>
      </c>
      <c r="F162" s="15" t="str">
        <f aca="false">IF(B162="","",INT((B162-Settings!$B$2)/7)+1)</f>
        <v/>
      </c>
      <c r="G162" s="15" t="str">
        <f aca="false">IF(F162="","",F162&gt;=Settings!$B$5)</f>
        <v/>
      </c>
      <c r="H162" s="13"/>
      <c r="I162" s="13"/>
      <c r="J162" s="15" t="str">
        <f aca="false">IF(A162="","",IFERROR(INDEX(Requests!$E$2:$E$301,MATCH(A162,Requests!$A$2:$A$301,0)),FALSE()))</f>
        <v/>
      </c>
      <c r="K162" s="15" t="str">
        <f aca="false">IF(A162="","",IF(AND(H162="Y",COUNTIFS($C$2:C162,C162,$H$2:H162,"Y")=1),1,0))</f>
        <v/>
      </c>
      <c r="L162" s="8"/>
      <c r="M162" s="8"/>
    </row>
    <row r="163" customFormat="false" ht="15" hidden="false" customHeight="false" outlineLevel="0" collapsed="false">
      <c r="A163" s="13"/>
      <c r="B163" s="18"/>
      <c r="C163" s="13"/>
      <c r="D163" s="20" t="str">
        <f aca="false">IF(A163="","",SUMIFS(Quotes!$E$2:$E$301,Quotes!$B$2:$B$301,A163,Quotes!$C$2:$C$301,C163))</f>
        <v/>
      </c>
      <c r="E163" s="20" t="str">
        <f aca="false">IF(A163="","",IF(D163&lt;500,25,IF(D163&lt;=1500,75,199)))</f>
        <v/>
      </c>
      <c r="F163" s="15" t="str">
        <f aca="false">IF(B163="","",INT((B163-Settings!$B$2)/7)+1)</f>
        <v/>
      </c>
      <c r="G163" s="15" t="str">
        <f aca="false">IF(F163="","",F163&gt;=Settings!$B$5)</f>
        <v/>
      </c>
      <c r="H163" s="13"/>
      <c r="I163" s="13"/>
      <c r="J163" s="15" t="str">
        <f aca="false">IF(A163="","",IFERROR(INDEX(Requests!$E$2:$E$301,MATCH(A163,Requests!$A$2:$A$301,0)),FALSE()))</f>
        <v/>
      </c>
      <c r="K163" s="15" t="str">
        <f aca="false">IF(A163="","",IF(AND(H163="Y",COUNTIFS($C$2:C163,C163,$H$2:H163,"Y")=1),1,0))</f>
        <v/>
      </c>
      <c r="L163" s="8"/>
      <c r="M163" s="8"/>
    </row>
    <row r="164" customFormat="false" ht="15" hidden="false" customHeight="false" outlineLevel="0" collapsed="false">
      <c r="A164" s="13"/>
      <c r="B164" s="18"/>
      <c r="C164" s="13"/>
      <c r="D164" s="20" t="str">
        <f aca="false">IF(A164="","",SUMIFS(Quotes!$E$2:$E$301,Quotes!$B$2:$B$301,A164,Quotes!$C$2:$C$301,C164))</f>
        <v/>
      </c>
      <c r="E164" s="20" t="str">
        <f aca="false">IF(A164="","",IF(D164&lt;500,25,IF(D164&lt;=1500,75,199)))</f>
        <v/>
      </c>
      <c r="F164" s="15" t="str">
        <f aca="false">IF(B164="","",INT((B164-Settings!$B$2)/7)+1)</f>
        <v/>
      </c>
      <c r="G164" s="15" t="str">
        <f aca="false">IF(F164="","",F164&gt;=Settings!$B$5)</f>
        <v/>
      </c>
      <c r="H164" s="13"/>
      <c r="I164" s="13"/>
      <c r="J164" s="15" t="str">
        <f aca="false">IF(A164="","",IFERROR(INDEX(Requests!$E$2:$E$301,MATCH(A164,Requests!$A$2:$A$301,0)),FALSE()))</f>
        <v/>
      </c>
      <c r="K164" s="15" t="str">
        <f aca="false">IF(A164="","",IF(AND(H164="Y",COUNTIFS($C$2:C164,C164,$H$2:H164,"Y")=1),1,0))</f>
        <v/>
      </c>
      <c r="L164" s="8"/>
      <c r="M164" s="8"/>
    </row>
    <row r="165" customFormat="false" ht="15" hidden="false" customHeight="false" outlineLevel="0" collapsed="false">
      <c r="A165" s="13"/>
      <c r="B165" s="18"/>
      <c r="C165" s="13"/>
      <c r="D165" s="20" t="str">
        <f aca="false">IF(A165="","",SUMIFS(Quotes!$E$2:$E$301,Quotes!$B$2:$B$301,A165,Quotes!$C$2:$C$301,C165))</f>
        <v/>
      </c>
      <c r="E165" s="20" t="str">
        <f aca="false">IF(A165="","",IF(D165&lt;500,25,IF(D165&lt;=1500,75,199)))</f>
        <v/>
      </c>
      <c r="F165" s="15" t="str">
        <f aca="false">IF(B165="","",INT((B165-Settings!$B$2)/7)+1)</f>
        <v/>
      </c>
      <c r="G165" s="15" t="str">
        <f aca="false">IF(F165="","",F165&gt;=Settings!$B$5)</f>
        <v/>
      </c>
      <c r="H165" s="13"/>
      <c r="I165" s="13"/>
      <c r="J165" s="15" t="str">
        <f aca="false">IF(A165="","",IFERROR(INDEX(Requests!$E$2:$E$301,MATCH(A165,Requests!$A$2:$A$301,0)),FALSE()))</f>
        <v/>
      </c>
      <c r="K165" s="15" t="str">
        <f aca="false">IF(A165="","",IF(AND(H165="Y",COUNTIFS($C$2:C165,C165,$H$2:H165,"Y")=1),1,0))</f>
        <v/>
      </c>
      <c r="L165" s="8"/>
      <c r="M165" s="8"/>
    </row>
    <row r="166" customFormat="false" ht="15" hidden="false" customHeight="false" outlineLevel="0" collapsed="false">
      <c r="A166" s="13"/>
      <c r="B166" s="18"/>
      <c r="C166" s="13"/>
      <c r="D166" s="20" t="str">
        <f aca="false">IF(A166="","",SUMIFS(Quotes!$E$2:$E$301,Quotes!$B$2:$B$301,A166,Quotes!$C$2:$C$301,C166))</f>
        <v/>
      </c>
      <c r="E166" s="20" t="str">
        <f aca="false">IF(A166="","",IF(D166&lt;500,25,IF(D166&lt;=1500,75,199)))</f>
        <v/>
      </c>
      <c r="F166" s="15" t="str">
        <f aca="false">IF(B166="","",INT((B166-Settings!$B$2)/7)+1)</f>
        <v/>
      </c>
      <c r="G166" s="15" t="str">
        <f aca="false">IF(F166="","",F166&gt;=Settings!$B$5)</f>
        <v/>
      </c>
      <c r="H166" s="13"/>
      <c r="I166" s="13"/>
      <c r="J166" s="15" t="str">
        <f aca="false">IF(A166="","",IFERROR(INDEX(Requests!$E$2:$E$301,MATCH(A166,Requests!$A$2:$A$301,0)),FALSE()))</f>
        <v/>
      </c>
      <c r="K166" s="15" t="str">
        <f aca="false">IF(A166="","",IF(AND(H166="Y",COUNTIFS($C$2:C166,C166,$H$2:H166,"Y")=1),1,0))</f>
        <v/>
      </c>
      <c r="L166" s="8"/>
      <c r="M166" s="8"/>
    </row>
    <row r="167" customFormat="false" ht="15" hidden="false" customHeight="false" outlineLevel="0" collapsed="false">
      <c r="A167" s="13"/>
      <c r="B167" s="18"/>
      <c r="C167" s="13"/>
      <c r="D167" s="20" t="str">
        <f aca="false">IF(A167="","",SUMIFS(Quotes!$E$2:$E$301,Quotes!$B$2:$B$301,A167,Quotes!$C$2:$C$301,C167))</f>
        <v/>
      </c>
      <c r="E167" s="20" t="str">
        <f aca="false">IF(A167="","",IF(D167&lt;500,25,IF(D167&lt;=1500,75,199)))</f>
        <v/>
      </c>
      <c r="F167" s="15" t="str">
        <f aca="false">IF(B167="","",INT((B167-Settings!$B$2)/7)+1)</f>
        <v/>
      </c>
      <c r="G167" s="15" t="str">
        <f aca="false">IF(F167="","",F167&gt;=Settings!$B$5)</f>
        <v/>
      </c>
      <c r="H167" s="13"/>
      <c r="I167" s="13"/>
      <c r="J167" s="15" t="str">
        <f aca="false">IF(A167="","",IFERROR(INDEX(Requests!$E$2:$E$301,MATCH(A167,Requests!$A$2:$A$301,0)),FALSE()))</f>
        <v/>
      </c>
      <c r="K167" s="15" t="str">
        <f aca="false">IF(A167="","",IF(AND(H167="Y",COUNTIFS($C$2:C167,C167,$H$2:H167,"Y")=1),1,0))</f>
        <v/>
      </c>
      <c r="L167" s="8"/>
      <c r="M167" s="8"/>
    </row>
    <row r="168" customFormat="false" ht="15" hidden="false" customHeight="false" outlineLevel="0" collapsed="false">
      <c r="A168" s="13"/>
      <c r="B168" s="18"/>
      <c r="C168" s="13"/>
      <c r="D168" s="20" t="str">
        <f aca="false">IF(A168="","",SUMIFS(Quotes!$E$2:$E$301,Quotes!$B$2:$B$301,A168,Quotes!$C$2:$C$301,C168))</f>
        <v/>
      </c>
      <c r="E168" s="20" t="str">
        <f aca="false">IF(A168="","",IF(D168&lt;500,25,IF(D168&lt;=1500,75,199)))</f>
        <v/>
      </c>
      <c r="F168" s="15" t="str">
        <f aca="false">IF(B168="","",INT((B168-Settings!$B$2)/7)+1)</f>
        <v/>
      </c>
      <c r="G168" s="15" t="str">
        <f aca="false">IF(F168="","",F168&gt;=Settings!$B$5)</f>
        <v/>
      </c>
      <c r="H168" s="13"/>
      <c r="I168" s="13"/>
      <c r="J168" s="15" t="str">
        <f aca="false">IF(A168="","",IFERROR(INDEX(Requests!$E$2:$E$301,MATCH(A168,Requests!$A$2:$A$301,0)),FALSE()))</f>
        <v/>
      </c>
      <c r="K168" s="15" t="str">
        <f aca="false">IF(A168="","",IF(AND(H168="Y",COUNTIFS($C$2:C168,C168,$H$2:H168,"Y")=1),1,0))</f>
        <v/>
      </c>
      <c r="L168" s="8"/>
      <c r="M168" s="8"/>
    </row>
    <row r="169" customFormat="false" ht="15" hidden="false" customHeight="false" outlineLevel="0" collapsed="false">
      <c r="A169" s="13"/>
      <c r="B169" s="18"/>
      <c r="C169" s="13"/>
      <c r="D169" s="20" t="str">
        <f aca="false">IF(A169="","",SUMIFS(Quotes!$E$2:$E$301,Quotes!$B$2:$B$301,A169,Quotes!$C$2:$C$301,C169))</f>
        <v/>
      </c>
      <c r="E169" s="20" t="str">
        <f aca="false">IF(A169="","",IF(D169&lt;500,25,IF(D169&lt;=1500,75,199)))</f>
        <v/>
      </c>
      <c r="F169" s="15" t="str">
        <f aca="false">IF(B169="","",INT((B169-Settings!$B$2)/7)+1)</f>
        <v/>
      </c>
      <c r="G169" s="15" t="str">
        <f aca="false">IF(F169="","",F169&gt;=Settings!$B$5)</f>
        <v/>
      </c>
      <c r="H169" s="13"/>
      <c r="I169" s="13"/>
      <c r="J169" s="15" t="str">
        <f aca="false">IF(A169="","",IFERROR(INDEX(Requests!$E$2:$E$301,MATCH(A169,Requests!$A$2:$A$301,0)),FALSE()))</f>
        <v/>
      </c>
      <c r="K169" s="15" t="str">
        <f aca="false">IF(A169="","",IF(AND(H169="Y",COUNTIFS($C$2:C169,C169,$H$2:H169,"Y")=1),1,0))</f>
        <v/>
      </c>
      <c r="L169" s="8"/>
      <c r="M169" s="8"/>
    </row>
    <row r="170" customFormat="false" ht="15" hidden="false" customHeight="false" outlineLevel="0" collapsed="false">
      <c r="A170" s="13"/>
      <c r="B170" s="18"/>
      <c r="C170" s="13"/>
      <c r="D170" s="20" t="str">
        <f aca="false">IF(A170="","",SUMIFS(Quotes!$E$2:$E$301,Quotes!$B$2:$B$301,A170,Quotes!$C$2:$C$301,C170))</f>
        <v/>
      </c>
      <c r="E170" s="20" t="str">
        <f aca="false">IF(A170="","",IF(D170&lt;500,25,IF(D170&lt;=1500,75,199)))</f>
        <v/>
      </c>
      <c r="F170" s="15" t="str">
        <f aca="false">IF(B170="","",INT((B170-Settings!$B$2)/7)+1)</f>
        <v/>
      </c>
      <c r="G170" s="15" t="str">
        <f aca="false">IF(F170="","",F170&gt;=Settings!$B$5)</f>
        <v/>
      </c>
      <c r="H170" s="13"/>
      <c r="I170" s="13"/>
      <c r="J170" s="15" t="str">
        <f aca="false">IF(A170="","",IFERROR(INDEX(Requests!$E$2:$E$301,MATCH(A170,Requests!$A$2:$A$301,0)),FALSE()))</f>
        <v/>
      </c>
      <c r="K170" s="15" t="str">
        <f aca="false">IF(A170="","",IF(AND(H170="Y",COUNTIFS($C$2:C170,C170,$H$2:H170,"Y")=1),1,0))</f>
        <v/>
      </c>
      <c r="L170" s="8"/>
      <c r="M170" s="8"/>
    </row>
    <row r="171" customFormat="false" ht="15" hidden="false" customHeight="false" outlineLevel="0" collapsed="false">
      <c r="A171" s="13"/>
      <c r="B171" s="18"/>
      <c r="C171" s="13"/>
      <c r="D171" s="20" t="str">
        <f aca="false">IF(A171="","",SUMIFS(Quotes!$E$2:$E$301,Quotes!$B$2:$B$301,A171,Quotes!$C$2:$C$301,C171))</f>
        <v/>
      </c>
      <c r="E171" s="20" t="str">
        <f aca="false">IF(A171="","",IF(D171&lt;500,25,IF(D171&lt;=1500,75,199)))</f>
        <v/>
      </c>
      <c r="F171" s="15" t="str">
        <f aca="false">IF(B171="","",INT((B171-Settings!$B$2)/7)+1)</f>
        <v/>
      </c>
      <c r="G171" s="15" t="str">
        <f aca="false">IF(F171="","",F171&gt;=Settings!$B$5)</f>
        <v/>
      </c>
      <c r="H171" s="13"/>
      <c r="I171" s="13"/>
      <c r="J171" s="15" t="str">
        <f aca="false">IF(A171="","",IFERROR(INDEX(Requests!$E$2:$E$301,MATCH(A171,Requests!$A$2:$A$301,0)),FALSE()))</f>
        <v/>
      </c>
      <c r="K171" s="15" t="str">
        <f aca="false">IF(A171="","",IF(AND(H171="Y",COUNTIFS($C$2:C171,C171,$H$2:H171,"Y")=1),1,0))</f>
        <v/>
      </c>
      <c r="L171" s="8"/>
      <c r="M171" s="8"/>
    </row>
    <row r="172" customFormat="false" ht="15" hidden="false" customHeight="false" outlineLevel="0" collapsed="false">
      <c r="A172" s="13"/>
      <c r="B172" s="18"/>
      <c r="C172" s="13"/>
      <c r="D172" s="20" t="str">
        <f aca="false">IF(A172="","",SUMIFS(Quotes!$E$2:$E$301,Quotes!$B$2:$B$301,A172,Quotes!$C$2:$C$301,C172))</f>
        <v/>
      </c>
      <c r="E172" s="20" t="str">
        <f aca="false">IF(A172="","",IF(D172&lt;500,25,IF(D172&lt;=1500,75,199)))</f>
        <v/>
      </c>
      <c r="F172" s="15" t="str">
        <f aca="false">IF(B172="","",INT((B172-Settings!$B$2)/7)+1)</f>
        <v/>
      </c>
      <c r="G172" s="15" t="str">
        <f aca="false">IF(F172="","",F172&gt;=Settings!$B$5)</f>
        <v/>
      </c>
      <c r="H172" s="13"/>
      <c r="I172" s="13"/>
      <c r="J172" s="15" t="str">
        <f aca="false">IF(A172="","",IFERROR(INDEX(Requests!$E$2:$E$301,MATCH(A172,Requests!$A$2:$A$301,0)),FALSE()))</f>
        <v/>
      </c>
      <c r="K172" s="15" t="str">
        <f aca="false">IF(A172="","",IF(AND(H172="Y",COUNTIFS($C$2:C172,C172,$H$2:H172,"Y")=1),1,0))</f>
        <v/>
      </c>
      <c r="L172" s="8"/>
      <c r="M172" s="8"/>
    </row>
    <row r="173" customFormat="false" ht="15" hidden="false" customHeight="false" outlineLevel="0" collapsed="false">
      <c r="A173" s="13"/>
      <c r="B173" s="18"/>
      <c r="C173" s="13"/>
      <c r="D173" s="20" t="str">
        <f aca="false">IF(A173="","",SUMIFS(Quotes!$E$2:$E$301,Quotes!$B$2:$B$301,A173,Quotes!$C$2:$C$301,C173))</f>
        <v/>
      </c>
      <c r="E173" s="20" t="str">
        <f aca="false">IF(A173="","",IF(D173&lt;500,25,IF(D173&lt;=1500,75,199)))</f>
        <v/>
      </c>
      <c r="F173" s="15" t="str">
        <f aca="false">IF(B173="","",INT((B173-Settings!$B$2)/7)+1)</f>
        <v/>
      </c>
      <c r="G173" s="15" t="str">
        <f aca="false">IF(F173="","",F173&gt;=Settings!$B$5)</f>
        <v/>
      </c>
      <c r="H173" s="13"/>
      <c r="I173" s="13"/>
      <c r="J173" s="15" t="str">
        <f aca="false">IF(A173="","",IFERROR(INDEX(Requests!$E$2:$E$301,MATCH(A173,Requests!$A$2:$A$301,0)),FALSE()))</f>
        <v/>
      </c>
      <c r="K173" s="15" t="str">
        <f aca="false">IF(A173="","",IF(AND(H173="Y",COUNTIFS($C$2:C173,C173,$H$2:H173,"Y")=1),1,0))</f>
        <v/>
      </c>
      <c r="L173" s="8"/>
      <c r="M173" s="8"/>
    </row>
    <row r="174" customFormat="false" ht="15" hidden="false" customHeight="false" outlineLevel="0" collapsed="false">
      <c r="A174" s="13"/>
      <c r="B174" s="18"/>
      <c r="C174" s="13"/>
      <c r="D174" s="20" t="str">
        <f aca="false">IF(A174="","",SUMIFS(Quotes!$E$2:$E$301,Quotes!$B$2:$B$301,A174,Quotes!$C$2:$C$301,C174))</f>
        <v/>
      </c>
      <c r="E174" s="20" t="str">
        <f aca="false">IF(A174="","",IF(D174&lt;500,25,IF(D174&lt;=1500,75,199)))</f>
        <v/>
      </c>
      <c r="F174" s="15" t="str">
        <f aca="false">IF(B174="","",INT((B174-Settings!$B$2)/7)+1)</f>
        <v/>
      </c>
      <c r="G174" s="15" t="str">
        <f aca="false">IF(F174="","",F174&gt;=Settings!$B$5)</f>
        <v/>
      </c>
      <c r="H174" s="13"/>
      <c r="I174" s="13"/>
      <c r="J174" s="15" t="str">
        <f aca="false">IF(A174="","",IFERROR(INDEX(Requests!$E$2:$E$301,MATCH(A174,Requests!$A$2:$A$301,0)),FALSE()))</f>
        <v/>
      </c>
      <c r="K174" s="15" t="str">
        <f aca="false">IF(A174="","",IF(AND(H174="Y",COUNTIFS($C$2:C174,C174,$H$2:H174,"Y")=1),1,0))</f>
        <v/>
      </c>
      <c r="L174" s="8"/>
      <c r="M174" s="8"/>
    </row>
    <row r="175" customFormat="false" ht="15" hidden="false" customHeight="false" outlineLevel="0" collapsed="false">
      <c r="A175" s="13"/>
      <c r="B175" s="18"/>
      <c r="C175" s="13"/>
      <c r="D175" s="20" t="str">
        <f aca="false">IF(A175="","",SUMIFS(Quotes!$E$2:$E$301,Quotes!$B$2:$B$301,A175,Quotes!$C$2:$C$301,C175))</f>
        <v/>
      </c>
      <c r="E175" s="20" t="str">
        <f aca="false">IF(A175="","",IF(D175&lt;500,25,IF(D175&lt;=1500,75,199)))</f>
        <v/>
      </c>
      <c r="F175" s="15" t="str">
        <f aca="false">IF(B175="","",INT((B175-Settings!$B$2)/7)+1)</f>
        <v/>
      </c>
      <c r="G175" s="15" t="str">
        <f aca="false">IF(F175="","",F175&gt;=Settings!$B$5)</f>
        <v/>
      </c>
      <c r="H175" s="13"/>
      <c r="I175" s="13"/>
      <c r="J175" s="15" t="str">
        <f aca="false">IF(A175="","",IFERROR(INDEX(Requests!$E$2:$E$301,MATCH(A175,Requests!$A$2:$A$301,0)),FALSE()))</f>
        <v/>
      </c>
      <c r="K175" s="15" t="str">
        <f aca="false">IF(A175="","",IF(AND(H175="Y",COUNTIFS($C$2:C175,C175,$H$2:H175,"Y")=1),1,0))</f>
        <v/>
      </c>
      <c r="L175" s="8"/>
      <c r="M175" s="8"/>
    </row>
    <row r="176" customFormat="false" ht="15" hidden="false" customHeight="false" outlineLevel="0" collapsed="false">
      <c r="A176" s="13"/>
      <c r="B176" s="18"/>
      <c r="C176" s="13"/>
      <c r="D176" s="20" t="str">
        <f aca="false">IF(A176="","",SUMIFS(Quotes!$E$2:$E$301,Quotes!$B$2:$B$301,A176,Quotes!$C$2:$C$301,C176))</f>
        <v/>
      </c>
      <c r="E176" s="20" t="str">
        <f aca="false">IF(A176="","",IF(D176&lt;500,25,IF(D176&lt;=1500,75,199)))</f>
        <v/>
      </c>
      <c r="F176" s="15" t="str">
        <f aca="false">IF(B176="","",INT((B176-Settings!$B$2)/7)+1)</f>
        <v/>
      </c>
      <c r="G176" s="15" t="str">
        <f aca="false">IF(F176="","",F176&gt;=Settings!$B$5)</f>
        <v/>
      </c>
      <c r="H176" s="13"/>
      <c r="I176" s="13"/>
      <c r="J176" s="15" t="str">
        <f aca="false">IF(A176="","",IFERROR(INDEX(Requests!$E$2:$E$301,MATCH(A176,Requests!$A$2:$A$301,0)),FALSE()))</f>
        <v/>
      </c>
      <c r="K176" s="15" t="str">
        <f aca="false">IF(A176="","",IF(AND(H176="Y",COUNTIFS($C$2:C176,C176,$H$2:H176,"Y")=1),1,0))</f>
        <v/>
      </c>
      <c r="L176" s="8"/>
      <c r="M176" s="8"/>
    </row>
    <row r="177" customFormat="false" ht="15" hidden="false" customHeight="false" outlineLevel="0" collapsed="false">
      <c r="A177" s="13"/>
      <c r="B177" s="18"/>
      <c r="C177" s="13"/>
      <c r="D177" s="20" t="str">
        <f aca="false">IF(A177="","",SUMIFS(Quotes!$E$2:$E$301,Quotes!$B$2:$B$301,A177,Quotes!$C$2:$C$301,C177))</f>
        <v/>
      </c>
      <c r="E177" s="20" t="str">
        <f aca="false">IF(A177="","",IF(D177&lt;500,25,IF(D177&lt;=1500,75,199)))</f>
        <v/>
      </c>
      <c r="F177" s="15" t="str">
        <f aca="false">IF(B177="","",INT((B177-Settings!$B$2)/7)+1)</f>
        <v/>
      </c>
      <c r="G177" s="15" t="str">
        <f aca="false">IF(F177="","",F177&gt;=Settings!$B$5)</f>
        <v/>
      </c>
      <c r="H177" s="13"/>
      <c r="I177" s="13"/>
      <c r="J177" s="15" t="str">
        <f aca="false">IF(A177="","",IFERROR(INDEX(Requests!$E$2:$E$301,MATCH(A177,Requests!$A$2:$A$301,0)),FALSE()))</f>
        <v/>
      </c>
      <c r="K177" s="15" t="str">
        <f aca="false">IF(A177="","",IF(AND(H177="Y",COUNTIFS($C$2:C177,C177,$H$2:H177,"Y")=1),1,0))</f>
        <v/>
      </c>
      <c r="L177" s="8"/>
      <c r="M177" s="8"/>
    </row>
    <row r="178" customFormat="false" ht="15" hidden="false" customHeight="false" outlineLevel="0" collapsed="false">
      <c r="A178" s="13"/>
      <c r="B178" s="18"/>
      <c r="C178" s="13"/>
      <c r="D178" s="20" t="str">
        <f aca="false">IF(A178="","",SUMIFS(Quotes!$E$2:$E$301,Quotes!$B$2:$B$301,A178,Quotes!$C$2:$C$301,C178))</f>
        <v/>
      </c>
      <c r="E178" s="20" t="str">
        <f aca="false">IF(A178="","",IF(D178&lt;500,25,IF(D178&lt;=1500,75,199)))</f>
        <v/>
      </c>
      <c r="F178" s="15" t="str">
        <f aca="false">IF(B178="","",INT((B178-Settings!$B$2)/7)+1)</f>
        <v/>
      </c>
      <c r="G178" s="15" t="str">
        <f aca="false">IF(F178="","",F178&gt;=Settings!$B$5)</f>
        <v/>
      </c>
      <c r="H178" s="13"/>
      <c r="I178" s="13"/>
      <c r="J178" s="15" t="str">
        <f aca="false">IF(A178="","",IFERROR(INDEX(Requests!$E$2:$E$301,MATCH(A178,Requests!$A$2:$A$301,0)),FALSE()))</f>
        <v/>
      </c>
      <c r="K178" s="15" t="str">
        <f aca="false">IF(A178="","",IF(AND(H178="Y",COUNTIFS($C$2:C178,C178,$H$2:H178,"Y")=1),1,0))</f>
        <v/>
      </c>
      <c r="L178" s="8"/>
      <c r="M178" s="8"/>
    </row>
    <row r="179" customFormat="false" ht="15" hidden="false" customHeight="false" outlineLevel="0" collapsed="false">
      <c r="A179" s="13"/>
      <c r="B179" s="18"/>
      <c r="C179" s="13"/>
      <c r="D179" s="20" t="str">
        <f aca="false">IF(A179="","",SUMIFS(Quotes!$E$2:$E$301,Quotes!$B$2:$B$301,A179,Quotes!$C$2:$C$301,C179))</f>
        <v/>
      </c>
      <c r="E179" s="20" t="str">
        <f aca="false">IF(A179="","",IF(D179&lt;500,25,IF(D179&lt;=1500,75,199)))</f>
        <v/>
      </c>
      <c r="F179" s="15" t="str">
        <f aca="false">IF(B179="","",INT((B179-Settings!$B$2)/7)+1)</f>
        <v/>
      </c>
      <c r="G179" s="15" t="str">
        <f aca="false">IF(F179="","",F179&gt;=Settings!$B$5)</f>
        <v/>
      </c>
      <c r="H179" s="13"/>
      <c r="I179" s="13"/>
      <c r="J179" s="15" t="str">
        <f aca="false">IF(A179="","",IFERROR(INDEX(Requests!$E$2:$E$301,MATCH(A179,Requests!$A$2:$A$301,0)),FALSE()))</f>
        <v/>
      </c>
      <c r="K179" s="15" t="str">
        <f aca="false">IF(A179="","",IF(AND(H179="Y",COUNTIFS($C$2:C179,C179,$H$2:H179,"Y")=1),1,0))</f>
        <v/>
      </c>
      <c r="L179" s="8"/>
      <c r="M179" s="8"/>
    </row>
    <row r="180" customFormat="false" ht="15" hidden="false" customHeight="false" outlineLevel="0" collapsed="false">
      <c r="A180" s="13"/>
      <c r="B180" s="18"/>
      <c r="C180" s="13"/>
      <c r="D180" s="20" t="str">
        <f aca="false">IF(A180="","",SUMIFS(Quotes!$E$2:$E$301,Quotes!$B$2:$B$301,A180,Quotes!$C$2:$C$301,C180))</f>
        <v/>
      </c>
      <c r="E180" s="20" t="str">
        <f aca="false">IF(A180="","",IF(D180&lt;500,25,IF(D180&lt;=1500,75,199)))</f>
        <v/>
      </c>
      <c r="F180" s="15" t="str">
        <f aca="false">IF(B180="","",INT((B180-Settings!$B$2)/7)+1)</f>
        <v/>
      </c>
      <c r="G180" s="15" t="str">
        <f aca="false">IF(F180="","",F180&gt;=Settings!$B$5)</f>
        <v/>
      </c>
      <c r="H180" s="13"/>
      <c r="I180" s="13"/>
      <c r="J180" s="15" t="str">
        <f aca="false">IF(A180="","",IFERROR(INDEX(Requests!$E$2:$E$301,MATCH(A180,Requests!$A$2:$A$301,0)),FALSE()))</f>
        <v/>
      </c>
      <c r="K180" s="15" t="str">
        <f aca="false">IF(A180="","",IF(AND(H180="Y",COUNTIFS($C$2:C180,C180,$H$2:H180,"Y")=1),1,0))</f>
        <v/>
      </c>
      <c r="L180" s="8"/>
      <c r="M180" s="8"/>
    </row>
    <row r="181" customFormat="false" ht="15" hidden="false" customHeight="false" outlineLevel="0" collapsed="false">
      <c r="A181" s="13"/>
      <c r="B181" s="18"/>
      <c r="C181" s="13"/>
      <c r="D181" s="20" t="str">
        <f aca="false">IF(A181="","",SUMIFS(Quotes!$E$2:$E$301,Quotes!$B$2:$B$301,A181,Quotes!$C$2:$C$301,C181))</f>
        <v/>
      </c>
      <c r="E181" s="20" t="str">
        <f aca="false">IF(A181="","",IF(D181&lt;500,25,IF(D181&lt;=1500,75,199)))</f>
        <v/>
      </c>
      <c r="F181" s="15" t="str">
        <f aca="false">IF(B181="","",INT((B181-Settings!$B$2)/7)+1)</f>
        <v/>
      </c>
      <c r="G181" s="15" t="str">
        <f aca="false">IF(F181="","",F181&gt;=Settings!$B$5)</f>
        <v/>
      </c>
      <c r="H181" s="13"/>
      <c r="I181" s="13"/>
      <c r="J181" s="15" t="str">
        <f aca="false">IF(A181="","",IFERROR(INDEX(Requests!$E$2:$E$301,MATCH(A181,Requests!$A$2:$A$301,0)),FALSE()))</f>
        <v/>
      </c>
      <c r="K181" s="15" t="str">
        <f aca="false">IF(A181="","",IF(AND(H181="Y",COUNTIFS($C$2:C181,C181,$H$2:H181,"Y")=1),1,0))</f>
        <v/>
      </c>
      <c r="L181" s="8"/>
      <c r="M181" s="8"/>
    </row>
    <row r="182" customFormat="false" ht="15" hidden="false" customHeight="false" outlineLevel="0" collapsed="false">
      <c r="A182" s="13"/>
      <c r="B182" s="18"/>
      <c r="C182" s="13"/>
      <c r="D182" s="20" t="str">
        <f aca="false">IF(A182="","",SUMIFS(Quotes!$E$2:$E$301,Quotes!$B$2:$B$301,A182,Quotes!$C$2:$C$301,C182))</f>
        <v/>
      </c>
      <c r="E182" s="20" t="str">
        <f aca="false">IF(A182="","",IF(D182&lt;500,25,IF(D182&lt;=1500,75,199)))</f>
        <v/>
      </c>
      <c r="F182" s="15" t="str">
        <f aca="false">IF(B182="","",INT((B182-Settings!$B$2)/7)+1)</f>
        <v/>
      </c>
      <c r="G182" s="15" t="str">
        <f aca="false">IF(F182="","",F182&gt;=Settings!$B$5)</f>
        <v/>
      </c>
      <c r="H182" s="13"/>
      <c r="I182" s="13"/>
      <c r="J182" s="15" t="str">
        <f aca="false">IF(A182="","",IFERROR(INDEX(Requests!$E$2:$E$301,MATCH(A182,Requests!$A$2:$A$301,0)),FALSE()))</f>
        <v/>
      </c>
      <c r="K182" s="15" t="str">
        <f aca="false">IF(A182="","",IF(AND(H182="Y",COUNTIFS($C$2:C182,C182,$H$2:H182,"Y")=1),1,0))</f>
        <v/>
      </c>
      <c r="L182" s="8"/>
      <c r="M182" s="8"/>
    </row>
    <row r="183" customFormat="false" ht="15" hidden="false" customHeight="false" outlineLevel="0" collapsed="false">
      <c r="A183" s="13"/>
      <c r="B183" s="18"/>
      <c r="C183" s="13"/>
      <c r="D183" s="20" t="str">
        <f aca="false">IF(A183="","",SUMIFS(Quotes!$E$2:$E$301,Quotes!$B$2:$B$301,A183,Quotes!$C$2:$C$301,C183))</f>
        <v/>
      </c>
      <c r="E183" s="20" t="str">
        <f aca="false">IF(A183="","",IF(D183&lt;500,25,IF(D183&lt;=1500,75,199)))</f>
        <v/>
      </c>
      <c r="F183" s="15" t="str">
        <f aca="false">IF(B183="","",INT((B183-Settings!$B$2)/7)+1)</f>
        <v/>
      </c>
      <c r="G183" s="15" t="str">
        <f aca="false">IF(F183="","",F183&gt;=Settings!$B$5)</f>
        <v/>
      </c>
      <c r="H183" s="13"/>
      <c r="I183" s="13"/>
      <c r="J183" s="15" t="str">
        <f aca="false">IF(A183="","",IFERROR(INDEX(Requests!$E$2:$E$301,MATCH(A183,Requests!$A$2:$A$301,0)),FALSE()))</f>
        <v/>
      </c>
      <c r="K183" s="15" t="str">
        <f aca="false">IF(A183="","",IF(AND(H183="Y",COUNTIFS($C$2:C183,C183,$H$2:H183,"Y")=1),1,0))</f>
        <v/>
      </c>
      <c r="L183" s="8"/>
      <c r="M183" s="8"/>
    </row>
    <row r="184" customFormat="false" ht="15" hidden="false" customHeight="false" outlineLevel="0" collapsed="false">
      <c r="A184" s="13"/>
      <c r="B184" s="18"/>
      <c r="C184" s="13"/>
      <c r="D184" s="20" t="str">
        <f aca="false">IF(A184="","",SUMIFS(Quotes!$E$2:$E$301,Quotes!$B$2:$B$301,A184,Quotes!$C$2:$C$301,C184))</f>
        <v/>
      </c>
      <c r="E184" s="20" t="str">
        <f aca="false">IF(A184="","",IF(D184&lt;500,25,IF(D184&lt;=1500,75,199)))</f>
        <v/>
      </c>
      <c r="F184" s="15" t="str">
        <f aca="false">IF(B184="","",INT((B184-Settings!$B$2)/7)+1)</f>
        <v/>
      </c>
      <c r="G184" s="15" t="str">
        <f aca="false">IF(F184="","",F184&gt;=Settings!$B$5)</f>
        <v/>
      </c>
      <c r="H184" s="13"/>
      <c r="I184" s="13"/>
      <c r="J184" s="15" t="str">
        <f aca="false">IF(A184="","",IFERROR(INDEX(Requests!$E$2:$E$301,MATCH(A184,Requests!$A$2:$A$301,0)),FALSE()))</f>
        <v/>
      </c>
      <c r="K184" s="15" t="str">
        <f aca="false">IF(A184="","",IF(AND(H184="Y",COUNTIFS($C$2:C184,C184,$H$2:H184,"Y")=1),1,0))</f>
        <v/>
      </c>
      <c r="L184" s="8"/>
      <c r="M184" s="8"/>
    </row>
    <row r="185" customFormat="false" ht="15" hidden="false" customHeight="false" outlineLevel="0" collapsed="false">
      <c r="A185" s="13"/>
      <c r="B185" s="18"/>
      <c r="C185" s="13"/>
      <c r="D185" s="20" t="str">
        <f aca="false">IF(A185="","",SUMIFS(Quotes!$E$2:$E$301,Quotes!$B$2:$B$301,A185,Quotes!$C$2:$C$301,C185))</f>
        <v/>
      </c>
      <c r="E185" s="20" t="str">
        <f aca="false">IF(A185="","",IF(D185&lt;500,25,IF(D185&lt;=1500,75,199)))</f>
        <v/>
      </c>
      <c r="F185" s="15" t="str">
        <f aca="false">IF(B185="","",INT((B185-Settings!$B$2)/7)+1)</f>
        <v/>
      </c>
      <c r="G185" s="15" t="str">
        <f aca="false">IF(F185="","",F185&gt;=Settings!$B$5)</f>
        <v/>
      </c>
      <c r="H185" s="13"/>
      <c r="I185" s="13"/>
      <c r="J185" s="15" t="str">
        <f aca="false">IF(A185="","",IFERROR(INDEX(Requests!$E$2:$E$301,MATCH(A185,Requests!$A$2:$A$301,0)),FALSE()))</f>
        <v/>
      </c>
      <c r="K185" s="15" t="str">
        <f aca="false">IF(A185="","",IF(AND(H185="Y",COUNTIFS($C$2:C185,C185,$H$2:H185,"Y")=1),1,0))</f>
        <v/>
      </c>
      <c r="L185" s="8"/>
      <c r="M185" s="8"/>
    </row>
    <row r="186" customFormat="false" ht="15" hidden="false" customHeight="false" outlineLevel="0" collapsed="false">
      <c r="A186" s="13"/>
      <c r="B186" s="18"/>
      <c r="C186" s="13"/>
      <c r="D186" s="20" t="str">
        <f aca="false">IF(A186="","",SUMIFS(Quotes!$E$2:$E$301,Quotes!$B$2:$B$301,A186,Quotes!$C$2:$C$301,C186))</f>
        <v/>
      </c>
      <c r="E186" s="20" t="str">
        <f aca="false">IF(A186="","",IF(D186&lt;500,25,IF(D186&lt;=1500,75,199)))</f>
        <v/>
      </c>
      <c r="F186" s="15" t="str">
        <f aca="false">IF(B186="","",INT((B186-Settings!$B$2)/7)+1)</f>
        <v/>
      </c>
      <c r="G186" s="15" t="str">
        <f aca="false">IF(F186="","",F186&gt;=Settings!$B$5)</f>
        <v/>
      </c>
      <c r="H186" s="13"/>
      <c r="I186" s="13"/>
      <c r="J186" s="15" t="str">
        <f aca="false">IF(A186="","",IFERROR(INDEX(Requests!$E$2:$E$301,MATCH(A186,Requests!$A$2:$A$301,0)),FALSE()))</f>
        <v/>
      </c>
      <c r="K186" s="15" t="str">
        <f aca="false">IF(A186="","",IF(AND(H186="Y",COUNTIFS($C$2:C186,C186,$H$2:H186,"Y")=1),1,0))</f>
        <v/>
      </c>
      <c r="L186" s="8"/>
      <c r="M186" s="8"/>
    </row>
    <row r="187" customFormat="false" ht="15" hidden="false" customHeight="false" outlineLevel="0" collapsed="false">
      <c r="A187" s="13"/>
      <c r="B187" s="18"/>
      <c r="C187" s="13"/>
      <c r="D187" s="20" t="str">
        <f aca="false">IF(A187="","",SUMIFS(Quotes!$E$2:$E$301,Quotes!$B$2:$B$301,A187,Quotes!$C$2:$C$301,C187))</f>
        <v/>
      </c>
      <c r="E187" s="20" t="str">
        <f aca="false">IF(A187="","",IF(D187&lt;500,25,IF(D187&lt;=1500,75,199)))</f>
        <v/>
      </c>
      <c r="F187" s="15" t="str">
        <f aca="false">IF(B187="","",INT((B187-Settings!$B$2)/7)+1)</f>
        <v/>
      </c>
      <c r="G187" s="15" t="str">
        <f aca="false">IF(F187="","",F187&gt;=Settings!$B$5)</f>
        <v/>
      </c>
      <c r="H187" s="13"/>
      <c r="I187" s="13"/>
      <c r="J187" s="15" t="str">
        <f aca="false">IF(A187="","",IFERROR(INDEX(Requests!$E$2:$E$301,MATCH(A187,Requests!$A$2:$A$301,0)),FALSE()))</f>
        <v/>
      </c>
      <c r="K187" s="15" t="str">
        <f aca="false">IF(A187="","",IF(AND(H187="Y",COUNTIFS($C$2:C187,C187,$H$2:H187,"Y")=1),1,0))</f>
        <v/>
      </c>
      <c r="L187" s="8"/>
      <c r="M187" s="8"/>
    </row>
    <row r="188" customFormat="false" ht="15" hidden="false" customHeight="false" outlineLevel="0" collapsed="false">
      <c r="A188" s="13"/>
      <c r="B188" s="18"/>
      <c r="C188" s="13"/>
      <c r="D188" s="20" t="str">
        <f aca="false">IF(A188="","",SUMIFS(Quotes!$E$2:$E$301,Quotes!$B$2:$B$301,A188,Quotes!$C$2:$C$301,C188))</f>
        <v/>
      </c>
      <c r="E188" s="20" t="str">
        <f aca="false">IF(A188="","",IF(D188&lt;500,25,IF(D188&lt;=1500,75,199)))</f>
        <v/>
      </c>
      <c r="F188" s="15" t="str">
        <f aca="false">IF(B188="","",INT((B188-Settings!$B$2)/7)+1)</f>
        <v/>
      </c>
      <c r="G188" s="15" t="str">
        <f aca="false">IF(F188="","",F188&gt;=Settings!$B$5)</f>
        <v/>
      </c>
      <c r="H188" s="13"/>
      <c r="I188" s="13"/>
      <c r="J188" s="15" t="str">
        <f aca="false">IF(A188="","",IFERROR(INDEX(Requests!$E$2:$E$301,MATCH(A188,Requests!$A$2:$A$301,0)),FALSE()))</f>
        <v/>
      </c>
      <c r="K188" s="15" t="str">
        <f aca="false">IF(A188="","",IF(AND(H188="Y",COUNTIFS($C$2:C188,C188,$H$2:H188,"Y")=1),1,0))</f>
        <v/>
      </c>
      <c r="L188" s="8"/>
      <c r="M188" s="8"/>
    </row>
    <row r="189" customFormat="false" ht="15" hidden="false" customHeight="false" outlineLevel="0" collapsed="false">
      <c r="A189" s="13"/>
      <c r="B189" s="18"/>
      <c r="C189" s="13"/>
      <c r="D189" s="20" t="str">
        <f aca="false">IF(A189="","",SUMIFS(Quotes!$E$2:$E$301,Quotes!$B$2:$B$301,A189,Quotes!$C$2:$C$301,C189))</f>
        <v/>
      </c>
      <c r="E189" s="20" t="str">
        <f aca="false">IF(A189="","",IF(D189&lt;500,25,IF(D189&lt;=1500,75,199)))</f>
        <v/>
      </c>
      <c r="F189" s="15" t="str">
        <f aca="false">IF(B189="","",INT((B189-Settings!$B$2)/7)+1)</f>
        <v/>
      </c>
      <c r="G189" s="15" t="str">
        <f aca="false">IF(F189="","",F189&gt;=Settings!$B$5)</f>
        <v/>
      </c>
      <c r="H189" s="13"/>
      <c r="I189" s="13"/>
      <c r="J189" s="15" t="str">
        <f aca="false">IF(A189="","",IFERROR(INDEX(Requests!$E$2:$E$301,MATCH(A189,Requests!$A$2:$A$301,0)),FALSE()))</f>
        <v/>
      </c>
      <c r="K189" s="15" t="str">
        <f aca="false">IF(A189="","",IF(AND(H189="Y",COUNTIFS($C$2:C189,C189,$H$2:H189,"Y")=1),1,0))</f>
        <v/>
      </c>
      <c r="L189" s="8"/>
      <c r="M189" s="8"/>
    </row>
    <row r="190" customFormat="false" ht="15" hidden="false" customHeight="false" outlineLevel="0" collapsed="false">
      <c r="A190" s="13"/>
      <c r="B190" s="18"/>
      <c r="C190" s="13"/>
      <c r="D190" s="20" t="str">
        <f aca="false">IF(A190="","",SUMIFS(Quotes!$E$2:$E$301,Quotes!$B$2:$B$301,A190,Quotes!$C$2:$C$301,C190))</f>
        <v/>
      </c>
      <c r="E190" s="20" t="str">
        <f aca="false">IF(A190="","",IF(D190&lt;500,25,IF(D190&lt;=1500,75,199)))</f>
        <v/>
      </c>
      <c r="F190" s="15" t="str">
        <f aca="false">IF(B190="","",INT((B190-Settings!$B$2)/7)+1)</f>
        <v/>
      </c>
      <c r="G190" s="15" t="str">
        <f aca="false">IF(F190="","",F190&gt;=Settings!$B$5)</f>
        <v/>
      </c>
      <c r="H190" s="13"/>
      <c r="I190" s="13"/>
      <c r="J190" s="15" t="str">
        <f aca="false">IF(A190="","",IFERROR(INDEX(Requests!$E$2:$E$301,MATCH(A190,Requests!$A$2:$A$301,0)),FALSE()))</f>
        <v/>
      </c>
      <c r="K190" s="15" t="str">
        <f aca="false">IF(A190="","",IF(AND(H190="Y",COUNTIFS($C$2:C190,C190,$H$2:H190,"Y")=1),1,0))</f>
        <v/>
      </c>
      <c r="L190" s="8"/>
      <c r="M190" s="8"/>
    </row>
    <row r="191" customFormat="false" ht="15" hidden="false" customHeight="false" outlineLevel="0" collapsed="false">
      <c r="A191" s="13"/>
      <c r="B191" s="18"/>
      <c r="C191" s="13"/>
      <c r="D191" s="20" t="str">
        <f aca="false">IF(A191="","",SUMIFS(Quotes!$E$2:$E$301,Quotes!$B$2:$B$301,A191,Quotes!$C$2:$C$301,C191))</f>
        <v/>
      </c>
      <c r="E191" s="20" t="str">
        <f aca="false">IF(A191="","",IF(D191&lt;500,25,IF(D191&lt;=1500,75,199)))</f>
        <v/>
      </c>
      <c r="F191" s="15" t="str">
        <f aca="false">IF(B191="","",INT((B191-Settings!$B$2)/7)+1)</f>
        <v/>
      </c>
      <c r="G191" s="15" t="str">
        <f aca="false">IF(F191="","",F191&gt;=Settings!$B$5)</f>
        <v/>
      </c>
      <c r="H191" s="13"/>
      <c r="I191" s="13"/>
      <c r="J191" s="15" t="str">
        <f aca="false">IF(A191="","",IFERROR(INDEX(Requests!$E$2:$E$301,MATCH(A191,Requests!$A$2:$A$301,0)),FALSE()))</f>
        <v/>
      </c>
      <c r="K191" s="15" t="str">
        <f aca="false">IF(A191="","",IF(AND(H191="Y",COUNTIFS($C$2:C191,C191,$H$2:H191,"Y")=1),1,0))</f>
        <v/>
      </c>
      <c r="L191" s="8"/>
      <c r="M191" s="8"/>
    </row>
    <row r="192" customFormat="false" ht="15" hidden="false" customHeight="false" outlineLevel="0" collapsed="false">
      <c r="A192" s="13"/>
      <c r="B192" s="18"/>
      <c r="C192" s="13"/>
      <c r="D192" s="20" t="str">
        <f aca="false">IF(A192="","",SUMIFS(Quotes!$E$2:$E$301,Quotes!$B$2:$B$301,A192,Quotes!$C$2:$C$301,C192))</f>
        <v/>
      </c>
      <c r="E192" s="20" t="str">
        <f aca="false">IF(A192="","",IF(D192&lt;500,25,IF(D192&lt;=1500,75,199)))</f>
        <v/>
      </c>
      <c r="F192" s="15" t="str">
        <f aca="false">IF(B192="","",INT((B192-Settings!$B$2)/7)+1)</f>
        <v/>
      </c>
      <c r="G192" s="15" t="str">
        <f aca="false">IF(F192="","",F192&gt;=Settings!$B$5)</f>
        <v/>
      </c>
      <c r="H192" s="13"/>
      <c r="I192" s="13"/>
      <c r="J192" s="15" t="str">
        <f aca="false">IF(A192="","",IFERROR(INDEX(Requests!$E$2:$E$301,MATCH(A192,Requests!$A$2:$A$301,0)),FALSE()))</f>
        <v/>
      </c>
      <c r="K192" s="15" t="str">
        <f aca="false">IF(A192="","",IF(AND(H192="Y",COUNTIFS($C$2:C192,C192,$H$2:H192,"Y")=1),1,0))</f>
        <v/>
      </c>
      <c r="L192" s="8"/>
      <c r="M192" s="8"/>
    </row>
    <row r="193" customFormat="false" ht="15" hidden="false" customHeight="false" outlineLevel="0" collapsed="false">
      <c r="A193" s="13"/>
      <c r="B193" s="18"/>
      <c r="C193" s="13"/>
      <c r="D193" s="20" t="str">
        <f aca="false">IF(A193="","",SUMIFS(Quotes!$E$2:$E$301,Quotes!$B$2:$B$301,A193,Quotes!$C$2:$C$301,C193))</f>
        <v/>
      </c>
      <c r="E193" s="20" t="str">
        <f aca="false">IF(A193="","",IF(D193&lt;500,25,IF(D193&lt;=1500,75,199)))</f>
        <v/>
      </c>
      <c r="F193" s="15" t="str">
        <f aca="false">IF(B193="","",INT((B193-Settings!$B$2)/7)+1)</f>
        <v/>
      </c>
      <c r="G193" s="15" t="str">
        <f aca="false">IF(F193="","",F193&gt;=Settings!$B$5)</f>
        <v/>
      </c>
      <c r="H193" s="13"/>
      <c r="I193" s="13"/>
      <c r="J193" s="15" t="str">
        <f aca="false">IF(A193="","",IFERROR(INDEX(Requests!$E$2:$E$301,MATCH(A193,Requests!$A$2:$A$301,0)),FALSE()))</f>
        <v/>
      </c>
      <c r="K193" s="15" t="str">
        <f aca="false">IF(A193="","",IF(AND(H193="Y",COUNTIFS($C$2:C193,C193,$H$2:H193,"Y")=1),1,0))</f>
        <v/>
      </c>
      <c r="L193" s="8"/>
      <c r="M193" s="8"/>
    </row>
    <row r="194" customFormat="false" ht="15" hidden="false" customHeight="false" outlineLevel="0" collapsed="false">
      <c r="A194" s="13"/>
      <c r="B194" s="18"/>
      <c r="C194" s="13"/>
      <c r="D194" s="20" t="str">
        <f aca="false">IF(A194="","",SUMIFS(Quotes!$E$2:$E$301,Quotes!$B$2:$B$301,A194,Quotes!$C$2:$C$301,C194))</f>
        <v/>
      </c>
      <c r="E194" s="20" t="str">
        <f aca="false">IF(A194="","",IF(D194&lt;500,25,IF(D194&lt;=1500,75,199)))</f>
        <v/>
      </c>
      <c r="F194" s="15" t="str">
        <f aca="false">IF(B194="","",INT((B194-Settings!$B$2)/7)+1)</f>
        <v/>
      </c>
      <c r="G194" s="15" t="str">
        <f aca="false">IF(F194="","",F194&gt;=Settings!$B$5)</f>
        <v/>
      </c>
      <c r="H194" s="13"/>
      <c r="I194" s="13"/>
      <c r="J194" s="15" t="str">
        <f aca="false">IF(A194="","",IFERROR(INDEX(Requests!$E$2:$E$301,MATCH(A194,Requests!$A$2:$A$301,0)),FALSE()))</f>
        <v/>
      </c>
      <c r="K194" s="15" t="str">
        <f aca="false">IF(A194="","",IF(AND(H194="Y",COUNTIFS($C$2:C194,C194,$H$2:H194,"Y")=1),1,0))</f>
        <v/>
      </c>
      <c r="L194" s="8"/>
      <c r="M194" s="8"/>
    </row>
    <row r="195" customFormat="false" ht="15" hidden="false" customHeight="false" outlineLevel="0" collapsed="false">
      <c r="A195" s="13"/>
      <c r="B195" s="18"/>
      <c r="C195" s="13"/>
      <c r="D195" s="20" t="str">
        <f aca="false">IF(A195="","",SUMIFS(Quotes!$E$2:$E$301,Quotes!$B$2:$B$301,A195,Quotes!$C$2:$C$301,C195))</f>
        <v/>
      </c>
      <c r="E195" s="20" t="str">
        <f aca="false">IF(A195="","",IF(D195&lt;500,25,IF(D195&lt;=1500,75,199)))</f>
        <v/>
      </c>
      <c r="F195" s="15" t="str">
        <f aca="false">IF(B195="","",INT((B195-Settings!$B$2)/7)+1)</f>
        <v/>
      </c>
      <c r="G195" s="15" t="str">
        <f aca="false">IF(F195="","",F195&gt;=Settings!$B$5)</f>
        <v/>
      </c>
      <c r="H195" s="13"/>
      <c r="I195" s="13"/>
      <c r="J195" s="15" t="str">
        <f aca="false">IF(A195="","",IFERROR(INDEX(Requests!$E$2:$E$301,MATCH(A195,Requests!$A$2:$A$301,0)),FALSE()))</f>
        <v/>
      </c>
      <c r="K195" s="15" t="str">
        <f aca="false">IF(A195="","",IF(AND(H195="Y",COUNTIFS($C$2:C195,C195,$H$2:H195,"Y")=1),1,0))</f>
        <v/>
      </c>
      <c r="L195" s="8"/>
      <c r="M195" s="8"/>
    </row>
    <row r="196" customFormat="false" ht="15" hidden="false" customHeight="false" outlineLevel="0" collapsed="false">
      <c r="A196" s="13"/>
      <c r="B196" s="18"/>
      <c r="C196" s="13"/>
      <c r="D196" s="20" t="str">
        <f aca="false">IF(A196="","",SUMIFS(Quotes!$E$2:$E$301,Quotes!$B$2:$B$301,A196,Quotes!$C$2:$C$301,C196))</f>
        <v/>
      </c>
      <c r="E196" s="20" t="str">
        <f aca="false">IF(A196="","",IF(D196&lt;500,25,IF(D196&lt;=1500,75,199)))</f>
        <v/>
      </c>
      <c r="F196" s="15" t="str">
        <f aca="false">IF(B196="","",INT((B196-Settings!$B$2)/7)+1)</f>
        <v/>
      </c>
      <c r="G196" s="15" t="str">
        <f aca="false">IF(F196="","",F196&gt;=Settings!$B$5)</f>
        <v/>
      </c>
      <c r="H196" s="13"/>
      <c r="I196" s="13"/>
      <c r="J196" s="15" t="str">
        <f aca="false">IF(A196="","",IFERROR(INDEX(Requests!$E$2:$E$301,MATCH(A196,Requests!$A$2:$A$301,0)),FALSE()))</f>
        <v/>
      </c>
      <c r="K196" s="15" t="str">
        <f aca="false">IF(A196="","",IF(AND(H196="Y",COUNTIFS($C$2:C196,C196,$H$2:H196,"Y")=1),1,0))</f>
        <v/>
      </c>
      <c r="L196" s="8"/>
      <c r="M196" s="8"/>
    </row>
    <row r="197" customFormat="false" ht="15" hidden="false" customHeight="false" outlineLevel="0" collapsed="false">
      <c r="A197" s="13"/>
      <c r="B197" s="18"/>
      <c r="C197" s="13"/>
      <c r="D197" s="20" t="str">
        <f aca="false">IF(A197="","",SUMIFS(Quotes!$E$2:$E$301,Quotes!$B$2:$B$301,A197,Quotes!$C$2:$C$301,C197))</f>
        <v/>
      </c>
      <c r="E197" s="20" t="str">
        <f aca="false">IF(A197="","",IF(D197&lt;500,25,IF(D197&lt;=1500,75,199)))</f>
        <v/>
      </c>
      <c r="F197" s="15" t="str">
        <f aca="false">IF(B197="","",INT((B197-Settings!$B$2)/7)+1)</f>
        <v/>
      </c>
      <c r="G197" s="15" t="str">
        <f aca="false">IF(F197="","",F197&gt;=Settings!$B$5)</f>
        <v/>
      </c>
      <c r="H197" s="13"/>
      <c r="I197" s="13"/>
      <c r="J197" s="15" t="str">
        <f aca="false">IF(A197="","",IFERROR(INDEX(Requests!$E$2:$E$301,MATCH(A197,Requests!$A$2:$A$301,0)),FALSE()))</f>
        <v/>
      </c>
      <c r="K197" s="15" t="str">
        <f aca="false">IF(A197="","",IF(AND(H197="Y",COUNTIFS($C$2:C197,C197,$H$2:H197,"Y")=1),1,0))</f>
        <v/>
      </c>
      <c r="L197" s="8"/>
      <c r="M197" s="8"/>
    </row>
    <row r="198" customFormat="false" ht="15" hidden="false" customHeight="false" outlineLevel="0" collapsed="false">
      <c r="A198" s="13"/>
      <c r="B198" s="18"/>
      <c r="C198" s="13"/>
      <c r="D198" s="20" t="str">
        <f aca="false">IF(A198="","",SUMIFS(Quotes!$E$2:$E$301,Quotes!$B$2:$B$301,A198,Quotes!$C$2:$C$301,C198))</f>
        <v/>
      </c>
      <c r="E198" s="20" t="str">
        <f aca="false">IF(A198="","",IF(D198&lt;500,25,IF(D198&lt;=1500,75,199)))</f>
        <v/>
      </c>
      <c r="F198" s="15" t="str">
        <f aca="false">IF(B198="","",INT((B198-Settings!$B$2)/7)+1)</f>
        <v/>
      </c>
      <c r="G198" s="15" t="str">
        <f aca="false">IF(F198="","",F198&gt;=Settings!$B$5)</f>
        <v/>
      </c>
      <c r="H198" s="13"/>
      <c r="I198" s="13"/>
      <c r="J198" s="15" t="str">
        <f aca="false">IF(A198="","",IFERROR(INDEX(Requests!$E$2:$E$301,MATCH(A198,Requests!$A$2:$A$301,0)),FALSE()))</f>
        <v/>
      </c>
      <c r="K198" s="15" t="str">
        <f aca="false">IF(A198="","",IF(AND(H198="Y",COUNTIFS($C$2:C198,C198,$H$2:H198,"Y")=1),1,0))</f>
        <v/>
      </c>
      <c r="L198" s="8"/>
      <c r="M198" s="8"/>
    </row>
    <row r="199" customFormat="false" ht="15" hidden="false" customHeight="false" outlineLevel="0" collapsed="false">
      <c r="A199" s="13"/>
      <c r="B199" s="18"/>
      <c r="C199" s="13"/>
      <c r="D199" s="20" t="str">
        <f aca="false">IF(A199="","",SUMIFS(Quotes!$E$2:$E$301,Quotes!$B$2:$B$301,A199,Quotes!$C$2:$C$301,C199))</f>
        <v/>
      </c>
      <c r="E199" s="20" t="str">
        <f aca="false">IF(A199="","",IF(D199&lt;500,25,IF(D199&lt;=1500,75,199)))</f>
        <v/>
      </c>
      <c r="F199" s="15" t="str">
        <f aca="false">IF(B199="","",INT((B199-Settings!$B$2)/7)+1)</f>
        <v/>
      </c>
      <c r="G199" s="15" t="str">
        <f aca="false">IF(F199="","",F199&gt;=Settings!$B$5)</f>
        <v/>
      </c>
      <c r="H199" s="13"/>
      <c r="I199" s="13"/>
      <c r="J199" s="15" t="str">
        <f aca="false">IF(A199="","",IFERROR(INDEX(Requests!$E$2:$E$301,MATCH(A199,Requests!$A$2:$A$301,0)),FALSE()))</f>
        <v/>
      </c>
      <c r="K199" s="15" t="str">
        <f aca="false">IF(A199="","",IF(AND(H199="Y",COUNTIFS($C$2:C199,C199,$H$2:H199,"Y")=1),1,0))</f>
        <v/>
      </c>
      <c r="L199" s="8"/>
      <c r="M199" s="8"/>
    </row>
    <row r="200" customFormat="false" ht="15" hidden="false" customHeight="false" outlineLevel="0" collapsed="false">
      <c r="A200" s="13"/>
      <c r="B200" s="18"/>
      <c r="C200" s="13"/>
      <c r="D200" s="20" t="str">
        <f aca="false">IF(A200="","",SUMIFS(Quotes!$E$2:$E$301,Quotes!$B$2:$B$301,A200,Quotes!$C$2:$C$301,C200))</f>
        <v/>
      </c>
      <c r="E200" s="20" t="str">
        <f aca="false">IF(A200="","",IF(D200&lt;500,25,IF(D200&lt;=1500,75,199)))</f>
        <v/>
      </c>
      <c r="F200" s="15" t="str">
        <f aca="false">IF(B200="","",INT((B200-Settings!$B$2)/7)+1)</f>
        <v/>
      </c>
      <c r="G200" s="15" t="str">
        <f aca="false">IF(F200="","",F200&gt;=Settings!$B$5)</f>
        <v/>
      </c>
      <c r="H200" s="13"/>
      <c r="I200" s="13"/>
      <c r="J200" s="15" t="str">
        <f aca="false">IF(A200="","",IFERROR(INDEX(Requests!$E$2:$E$301,MATCH(A200,Requests!$A$2:$A$301,0)),FALSE()))</f>
        <v/>
      </c>
      <c r="K200" s="15" t="str">
        <f aca="false">IF(A200="","",IF(AND(H200="Y",COUNTIFS($C$2:C200,C200,$H$2:H200,"Y")=1),1,0))</f>
        <v/>
      </c>
      <c r="L200" s="8"/>
      <c r="M200" s="8"/>
    </row>
    <row r="201" customFormat="false" ht="15" hidden="false" customHeight="false" outlineLevel="0" collapsed="false">
      <c r="A201" s="13"/>
      <c r="B201" s="18"/>
      <c r="C201" s="13"/>
      <c r="D201" s="20" t="str">
        <f aca="false">IF(A201="","",SUMIFS(Quotes!$E$2:$E$301,Quotes!$B$2:$B$301,A201,Quotes!$C$2:$C$301,C201))</f>
        <v/>
      </c>
      <c r="E201" s="20" t="str">
        <f aca="false">IF(A201="","",IF(D201&lt;500,25,IF(D201&lt;=1500,75,199)))</f>
        <v/>
      </c>
      <c r="F201" s="15" t="str">
        <f aca="false">IF(B201="","",INT((B201-Settings!$B$2)/7)+1)</f>
        <v/>
      </c>
      <c r="G201" s="15" t="str">
        <f aca="false">IF(F201="","",F201&gt;=Settings!$B$5)</f>
        <v/>
      </c>
      <c r="H201" s="13"/>
      <c r="I201" s="13"/>
      <c r="J201" s="15" t="str">
        <f aca="false">IF(A201="","",IFERROR(INDEX(Requests!$E$2:$E$301,MATCH(A201,Requests!$A$2:$A$301,0)),FALSE()))</f>
        <v/>
      </c>
      <c r="K201" s="15" t="str">
        <f aca="false">IF(A201="","",IF(AND(H201="Y",COUNTIFS($C$2:C201,C201,$H$2:H201,"Y")=1),1,0))</f>
        <v/>
      </c>
      <c r="L201" s="8"/>
      <c r="M201" s="8"/>
    </row>
    <row r="202" customFormat="false" ht="15" hidden="false" customHeight="false" outlineLevel="0" collapsed="false">
      <c r="A202" s="13"/>
      <c r="B202" s="18"/>
      <c r="C202" s="13"/>
      <c r="D202" s="20" t="str">
        <f aca="false">IF(A202="","",SUMIFS(Quotes!$E$2:$E$301,Quotes!$B$2:$B$301,A202,Quotes!$C$2:$C$301,C202))</f>
        <v/>
      </c>
      <c r="E202" s="20" t="str">
        <f aca="false">IF(A202="","",IF(D202&lt;500,25,IF(D202&lt;=1500,75,199)))</f>
        <v/>
      </c>
      <c r="F202" s="15" t="str">
        <f aca="false">IF(B202="","",INT((B202-Settings!$B$2)/7)+1)</f>
        <v/>
      </c>
      <c r="G202" s="15" t="str">
        <f aca="false">IF(F202="","",F202&gt;=Settings!$B$5)</f>
        <v/>
      </c>
      <c r="H202" s="13"/>
      <c r="I202" s="13"/>
      <c r="J202" s="15" t="str">
        <f aca="false">IF(A202="","",IFERROR(INDEX(Requests!$E$2:$E$301,MATCH(A202,Requests!$A$2:$A$301,0)),FALSE()))</f>
        <v/>
      </c>
      <c r="K202" s="15" t="str">
        <f aca="false">IF(A202="","",IF(AND(H202="Y",COUNTIFS($C$2:C202,C202,$H$2:H202,"Y")=1),1,0))</f>
        <v/>
      </c>
      <c r="L202" s="8"/>
      <c r="M202" s="8"/>
    </row>
    <row r="203" customFormat="false" ht="15" hidden="false" customHeight="false" outlineLevel="0" collapsed="false">
      <c r="A203" s="13"/>
      <c r="B203" s="18"/>
      <c r="C203" s="13"/>
      <c r="D203" s="20" t="str">
        <f aca="false">IF(A203="","",SUMIFS(Quotes!$E$2:$E$301,Quotes!$B$2:$B$301,A203,Quotes!$C$2:$C$301,C203))</f>
        <v/>
      </c>
      <c r="E203" s="20" t="str">
        <f aca="false">IF(A203="","",IF(D203&lt;500,25,IF(D203&lt;=1500,75,199)))</f>
        <v/>
      </c>
      <c r="F203" s="15" t="str">
        <f aca="false">IF(B203="","",INT((B203-Settings!$B$2)/7)+1)</f>
        <v/>
      </c>
      <c r="G203" s="15" t="str">
        <f aca="false">IF(F203="","",F203&gt;=Settings!$B$5)</f>
        <v/>
      </c>
      <c r="H203" s="13"/>
      <c r="I203" s="13"/>
      <c r="J203" s="15" t="str">
        <f aca="false">IF(A203="","",IFERROR(INDEX(Requests!$E$2:$E$301,MATCH(A203,Requests!$A$2:$A$301,0)),FALSE()))</f>
        <v/>
      </c>
      <c r="K203" s="15" t="str">
        <f aca="false">IF(A203="","",IF(AND(H203="Y",COUNTIFS($C$2:C203,C203,$H$2:H203,"Y")=1),1,0))</f>
        <v/>
      </c>
      <c r="L203" s="8"/>
      <c r="M203" s="8"/>
    </row>
    <row r="204" customFormat="false" ht="15" hidden="false" customHeight="false" outlineLevel="0" collapsed="false">
      <c r="A204" s="13"/>
      <c r="B204" s="18"/>
      <c r="C204" s="13"/>
      <c r="D204" s="20" t="str">
        <f aca="false">IF(A204="","",SUMIFS(Quotes!$E$2:$E$301,Quotes!$B$2:$B$301,A204,Quotes!$C$2:$C$301,C204))</f>
        <v/>
      </c>
      <c r="E204" s="20" t="str">
        <f aca="false">IF(A204="","",IF(D204&lt;500,25,IF(D204&lt;=1500,75,199)))</f>
        <v/>
      </c>
      <c r="F204" s="15" t="str">
        <f aca="false">IF(B204="","",INT((B204-Settings!$B$2)/7)+1)</f>
        <v/>
      </c>
      <c r="G204" s="15" t="str">
        <f aca="false">IF(F204="","",F204&gt;=Settings!$B$5)</f>
        <v/>
      </c>
      <c r="H204" s="13"/>
      <c r="I204" s="13"/>
      <c r="J204" s="15" t="str">
        <f aca="false">IF(A204="","",IFERROR(INDEX(Requests!$E$2:$E$301,MATCH(A204,Requests!$A$2:$A$301,0)),FALSE()))</f>
        <v/>
      </c>
      <c r="K204" s="15" t="str">
        <f aca="false">IF(A204="","",IF(AND(H204="Y",COUNTIFS($C$2:C204,C204,$H$2:H204,"Y")=1),1,0))</f>
        <v/>
      </c>
      <c r="L204" s="8"/>
      <c r="M204" s="8"/>
    </row>
    <row r="205" customFormat="false" ht="15" hidden="false" customHeight="false" outlineLevel="0" collapsed="false">
      <c r="A205" s="13"/>
      <c r="B205" s="18"/>
      <c r="C205" s="13"/>
      <c r="D205" s="20" t="str">
        <f aca="false">IF(A205="","",SUMIFS(Quotes!$E$2:$E$301,Quotes!$B$2:$B$301,A205,Quotes!$C$2:$C$301,C205))</f>
        <v/>
      </c>
      <c r="E205" s="20" t="str">
        <f aca="false">IF(A205="","",IF(D205&lt;500,25,IF(D205&lt;=1500,75,199)))</f>
        <v/>
      </c>
      <c r="F205" s="15" t="str">
        <f aca="false">IF(B205="","",INT((B205-Settings!$B$2)/7)+1)</f>
        <v/>
      </c>
      <c r="G205" s="15" t="str">
        <f aca="false">IF(F205="","",F205&gt;=Settings!$B$5)</f>
        <v/>
      </c>
      <c r="H205" s="13"/>
      <c r="I205" s="13"/>
      <c r="J205" s="15" t="str">
        <f aca="false">IF(A205="","",IFERROR(INDEX(Requests!$E$2:$E$301,MATCH(A205,Requests!$A$2:$A$301,0)),FALSE()))</f>
        <v/>
      </c>
      <c r="K205" s="15" t="str">
        <f aca="false">IF(A205="","",IF(AND(H205="Y",COUNTIFS($C$2:C205,C205,$H$2:H205,"Y")=1),1,0))</f>
        <v/>
      </c>
      <c r="L205" s="8"/>
      <c r="M205" s="8"/>
    </row>
    <row r="206" customFormat="false" ht="15" hidden="false" customHeight="false" outlineLevel="0" collapsed="false">
      <c r="A206" s="13"/>
      <c r="B206" s="18"/>
      <c r="C206" s="13"/>
      <c r="D206" s="20" t="str">
        <f aca="false">IF(A206="","",SUMIFS(Quotes!$E$2:$E$301,Quotes!$B$2:$B$301,A206,Quotes!$C$2:$C$301,C206))</f>
        <v/>
      </c>
      <c r="E206" s="20" t="str">
        <f aca="false">IF(A206="","",IF(D206&lt;500,25,IF(D206&lt;=1500,75,199)))</f>
        <v/>
      </c>
      <c r="F206" s="15" t="str">
        <f aca="false">IF(B206="","",INT((B206-Settings!$B$2)/7)+1)</f>
        <v/>
      </c>
      <c r="G206" s="15" t="str">
        <f aca="false">IF(F206="","",F206&gt;=Settings!$B$5)</f>
        <v/>
      </c>
      <c r="H206" s="13"/>
      <c r="I206" s="13"/>
      <c r="J206" s="15" t="str">
        <f aca="false">IF(A206="","",IFERROR(INDEX(Requests!$E$2:$E$301,MATCH(A206,Requests!$A$2:$A$301,0)),FALSE()))</f>
        <v/>
      </c>
      <c r="K206" s="15" t="str">
        <f aca="false">IF(A206="","",IF(AND(H206="Y",COUNTIFS($C$2:C206,C206,$H$2:H206,"Y")=1),1,0))</f>
        <v/>
      </c>
      <c r="L206" s="8"/>
      <c r="M206" s="8"/>
    </row>
    <row r="207" customFormat="false" ht="15" hidden="false" customHeight="false" outlineLevel="0" collapsed="false">
      <c r="A207" s="13"/>
      <c r="B207" s="18"/>
      <c r="C207" s="13"/>
      <c r="D207" s="20" t="str">
        <f aca="false">IF(A207="","",SUMIFS(Quotes!$E$2:$E$301,Quotes!$B$2:$B$301,A207,Quotes!$C$2:$C$301,C207))</f>
        <v/>
      </c>
      <c r="E207" s="20" t="str">
        <f aca="false">IF(A207="","",IF(D207&lt;500,25,IF(D207&lt;=1500,75,199)))</f>
        <v/>
      </c>
      <c r="F207" s="15" t="str">
        <f aca="false">IF(B207="","",INT((B207-Settings!$B$2)/7)+1)</f>
        <v/>
      </c>
      <c r="G207" s="15" t="str">
        <f aca="false">IF(F207="","",F207&gt;=Settings!$B$5)</f>
        <v/>
      </c>
      <c r="H207" s="13"/>
      <c r="I207" s="13"/>
      <c r="J207" s="15" t="str">
        <f aca="false">IF(A207="","",IFERROR(INDEX(Requests!$E$2:$E$301,MATCH(A207,Requests!$A$2:$A$301,0)),FALSE()))</f>
        <v/>
      </c>
      <c r="K207" s="15" t="str">
        <f aca="false">IF(A207="","",IF(AND(H207="Y",COUNTIFS($C$2:C207,C207,$H$2:H207,"Y")=1),1,0))</f>
        <v/>
      </c>
      <c r="L207" s="8"/>
      <c r="M207" s="8"/>
    </row>
    <row r="208" customFormat="false" ht="15" hidden="false" customHeight="false" outlineLevel="0" collapsed="false">
      <c r="A208" s="13"/>
      <c r="B208" s="18"/>
      <c r="C208" s="13"/>
      <c r="D208" s="20" t="str">
        <f aca="false">IF(A208="","",SUMIFS(Quotes!$E$2:$E$301,Quotes!$B$2:$B$301,A208,Quotes!$C$2:$C$301,C208))</f>
        <v/>
      </c>
      <c r="E208" s="20" t="str">
        <f aca="false">IF(A208="","",IF(D208&lt;500,25,IF(D208&lt;=1500,75,199)))</f>
        <v/>
      </c>
      <c r="F208" s="15" t="str">
        <f aca="false">IF(B208="","",INT((B208-Settings!$B$2)/7)+1)</f>
        <v/>
      </c>
      <c r="G208" s="15" t="str">
        <f aca="false">IF(F208="","",F208&gt;=Settings!$B$5)</f>
        <v/>
      </c>
      <c r="H208" s="13"/>
      <c r="I208" s="13"/>
      <c r="J208" s="15" t="str">
        <f aca="false">IF(A208="","",IFERROR(INDEX(Requests!$E$2:$E$301,MATCH(A208,Requests!$A$2:$A$301,0)),FALSE()))</f>
        <v/>
      </c>
      <c r="K208" s="15" t="str">
        <f aca="false">IF(A208="","",IF(AND(H208="Y",COUNTIFS($C$2:C208,C208,$H$2:H208,"Y")=1),1,0))</f>
        <v/>
      </c>
      <c r="L208" s="8"/>
      <c r="M208" s="8"/>
    </row>
    <row r="209" customFormat="false" ht="15" hidden="false" customHeight="false" outlineLevel="0" collapsed="false">
      <c r="A209" s="13"/>
      <c r="B209" s="18"/>
      <c r="C209" s="13"/>
      <c r="D209" s="20" t="str">
        <f aca="false">IF(A209="","",SUMIFS(Quotes!$E$2:$E$301,Quotes!$B$2:$B$301,A209,Quotes!$C$2:$C$301,C209))</f>
        <v/>
      </c>
      <c r="E209" s="20" t="str">
        <f aca="false">IF(A209="","",IF(D209&lt;500,25,IF(D209&lt;=1500,75,199)))</f>
        <v/>
      </c>
      <c r="F209" s="15" t="str">
        <f aca="false">IF(B209="","",INT((B209-Settings!$B$2)/7)+1)</f>
        <v/>
      </c>
      <c r="G209" s="15" t="str">
        <f aca="false">IF(F209="","",F209&gt;=Settings!$B$5)</f>
        <v/>
      </c>
      <c r="H209" s="13"/>
      <c r="I209" s="13"/>
      <c r="J209" s="15" t="str">
        <f aca="false">IF(A209="","",IFERROR(INDEX(Requests!$E$2:$E$301,MATCH(A209,Requests!$A$2:$A$301,0)),FALSE()))</f>
        <v/>
      </c>
      <c r="K209" s="15" t="str">
        <f aca="false">IF(A209="","",IF(AND(H209="Y",COUNTIFS($C$2:C209,C209,$H$2:H209,"Y")=1),1,0))</f>
        <v/>
      </c>
      <c r="L209" s="8"/>
      <c r="M209" s="8"/>
    </row>
    <row r="210" customFormat="false" ht="15" hidden="false" customHeight="false" outlineLevel="0" collapsed="false">
      <c r="A210" s="13"/>
      <c r="B210" s="18"/>
      <c r="C210" s="13"/>
      <c r="D210" s="20" t="str">
        <f aca="false">IF(A210="","",SUMIFS(Quotes!$E$2:$E$301,Quotes!$B$2:$B$301,A210,Quotes!$C$2:$C$301,C210))</f>
        <v/>
      </c>
      <c r="E210" s="20" t="str">
        <f aca="false">IF(A210="","",IF(D210&lt;500,25,IF(D210&lt;=1500,75,199)))</f>
        <v/>
      </c>
      <c r="F210" s="15" t="str">
        <f aca="false">IF(B210="","",INT((B210-Settings!$B$2)/7)+1)</f>
        <v/>
      </c>
      <c r="G210" s="15" t="str">
        <f aca="false">IF(F210="","",F210&gt;=Settings!$B$5)</f>
        <v/>
      </c>
      <c r="H210" s="13"/>
      <c r="I210" s="13"/>
      <c r="J210" s="15" t="str">
        <f aca="false">IF(A210="","",IFERROR(INDEX(Requests!$E$2:$E$301,MATCH(A210,Requests!$A$2:$A$301,0)),FALSE()))</f>
        <v/>
      </c>
      <c r="K210" s="15" t="str">
        <f aca="false">IF(A210="","",IF(AND(H210="Y",COUNTIFS($C$2:C210,C210,$H$2:H210,"Y")=1),1,0))</f>
        <v/>
      </c>
      <c r="L210" s="8"/>
      <c r="M210" s="8"/>
    </row>
    <row r="211" customFormat="false" ht="15" hidden="false" customHeight="false" outlineLevel="0" collapsed="false">
      <c r="A211" s="13"/>
      <c r="B211" s="18"/>
      <c r="C211" s="13"/>
      <c r="D211" s="20" t="str">
        <f aca="false">IF(A211="","",SUMIFS(Quotes!$E$2:$E$301,Quotes!$B$2:$B$301,A211,Quotes!$C$2:$C$301,C211))</f>
        <v/>
      </c>
      <c r="E211" s="20" t="str">
        <f aca="false">IF(A211="","",IF(D211&lt;500,25,IF(D211&lt;=1500,75,199)))</f>
        <v/>
      </c>
      <c r="F211" s="15" t="str">
        <f aca="false">IF(B211="","",INT((B211-Settings!$B$2)/7)+1)</f>
        <v/>
      </c>
      <c r="G211" s="15" t="str">
        <f aca="false">IF(F211="","",F211&gt;=Settings!$B$5)</f>
        <v/>
      </c>
      <c r="H211" s="13"/>
      <c r="I211" s="13"/>
      <c r="J211" s="15" t="str">
        <f aca="false">IF(A211="","",IFERROR(INDEX(Requests!$E$2:$E$301,MATCH(A211,Requests!$A$2:$A$301,0)),FALSE()))</f>
        <v/>
      </c>
      <c r="K211" s="15" t="str">
        <f aca="false">IF(A211="","",IF(AND(H211="Y",COUNTIFS($C$2:C211,C211,$H$2:H211,"Y")=1),1,0))</f>
        <v/>
      </c>
      <c r="L211" s="8"/>
      <c r="M211" s="8"/>
    </row>
    <row r="212" customFormat="false" ht="15" hidden="false" customHeight="false" outlineLevel="0" collapsed="false">
      <c r="A212" s="13"/>
      <c r="B212" s="18"/>
      <c r="C212" s="13"/>
      <c r="D212" s="20" t="str">
        <f aca="false">IF(A212="","",SUMIFS(Quotes!$E$2:$E$301,Quotes!$B$2:$B$301,A212,Quotes!$C$2:$C$301,C212))</f>
        <v/>
      </c>
      <c r="E212" s="20" t="str">
        <f aca="false">IF(A212="","",IF(D212&lt;500,25,IF(D212&lt;=1500,75,199)))</f>
        <v/>
      </c>
      <c r="F212" s="15" t="str">
        <f aca="false">IF(B212="","",INT((B212-Settings!$B$2)/7)+1)</f>
        <v/>
      </c>
      <c r="G212" s="15" t="str">
        <f aca="false">IF(F212="","",F212&gt;=Settings!$B$5)</f>
        <v/>
      </c>
      <c r="H212" s="13"/>
      <c r="I212" s="13"/>
      <c r="J212" s="15" t="str">
        <f aca="false">IF(A212="","",IFERROR(INDEX(Requests!$E$2:$E$301,MATCH(A212,Requests!$A$2:$A$301,0)),FALSE()))</f>
        <v/>
      </c>
      <c r="K212" s="15" t="str">
        <f aca="false">IF(A212="","",IF(AND(H212="Y",COUNTIFS($C$2:C212,C212,$H$2:H212,"Y")=1),1,0))</f>
        <v/>
      </c>
      <c r="L212" s="8"/>
      <c r="M212" s="8"/>
    </row>
    <row r="213" customFormat="false" ht="15" hidden="false" customHeight="false" outlineLevel="0" collapsed="false">
      <c r="A213" s="13"/>
      <c r="B213" s="18"/>
      <c r="C213" s="13"/>
      <c r="D213" s="20" t="str">
        <f aca="false">IF(A213="","",SUMIFS(Quotes!$E$2:$E$301,Quotes!$B$2:$B$301,A213,Quotes!$C$2:$C$301,C213))</f>
        <v/>
      </c>
      <c r="E213" s="20" t="str">
        <f aca="false">IF(A213="","",IF(D213&lt;500,25,IF(D213&lt;=1500,75,199)))</f>
        <v/>
      </c>
      <c r="F213" s="15" t="str">
        <f aca="false">IF(B213="","",INT((B213-Settings!$B$2)/7)+1)</f>
        <v/>
      </c>
      <c r="G213" s="15" t="str">
        <f aca="false">IF(F213="","",F213&gt;=Settings!$B$5)</f>
        <v/>
      </c>
      <c r="H213" s="13"/>
      <c r="I213" s="13"/>
      <c r="J213" s="15" t="str">
        <f aca="false">IF(A213="","",IFERROR(INDEX(Requests!$E$2:$E$301,MATCH(A213,Requests!$A$2:$A$301,0)),FALSE()))</f>
        <v/>
      </c>
      <c r="K213" s="15" t="str">
        <f aca="false">IF(A213="","",IF(AND(H213="Y",COUNTIFS($C$2:C213,C213,$H$2:H213,"Y")=1),1,0))</f>
        <v/>
      </c>
      <c r="L213" s="8"/>
      <c r="M213" s="8"/>
    </row>
    <row r="214" customFormat="false" ht="15" hidden="false" customHeight="false" outlineLevel="0" collapsed="false">
      <c r="A214" s="13"/>
      <c r="B214" s="18"/>
      <c r="C214" s="13"/>
      <c r="D214" s="20" t="str">
        <f aca="false">IF(A214="","",SUMIFS(Quotes!$E$2:$E$301,Quotes!$B$2:$B$301,A214,Quotes!$C$2:$C$301,C214))</f>
        <v/>
      </c>
      <c r="E214" s="20" t="str">
        <f aca="false">IF(A214="","",IF(D214&lt;500,25,IF(D214&lt;=1500,75,199)))</f>
        <v/>
      </c>
      <c r="F214" s="15" t="str">
        <f aca="false">IF(B214="","",INT((B214-Settings!$B$2)/7)+1)</f>
        <v/>
      </c>
      <c r="G214" s="15" t="str">
        <f aca="false">IF(F214="","",F214&gt;=Settings!$B$5)</f>
        <v/>
      </c>
      <c r="H214" s="13"/>
      <c r="I214" s="13"/>
      <c r="J214" s="15" t="str">
        <f aca="false">IF(A214="","",IFERROR(INDEX(Requests!$E$2:$E$301,MATCH(A214,Requests!$A$2:$A$301,0)),FALSE()))</f>
        <v/>
      </c>
      <c r="K214" s="15" t="str">
        <f aca="false">IF(A214="","",IF(AND(H214="Y",COUNTIFS($C$2:C214,C214,$H$2:H214,"Y")=1),1,0))</f>
        <v/>
      </c>
      <c r="L214" s="8"/>
      <c r="M214" s="8"/>
    </row>
    <row r="215" customFormat="false" ht="15" hidden="false" customHeight="false" outlineLevel="0" collapsed="false">
      <c r="A215" s="13"/>
      <c r="B215" s="18"/>
      <c r="C215" s="13"/>
      <c r="D215" s="20" t="str">
        <f aca="false">IF(A215="","",SUMIFS(Quotes!$E$2:$E$301,Quotes!$B$2:$B$301,A215,Quotes!$C$2:$C$301,C215))</f>
        <v/>
      </c>
      <c r="E215" s="20" t="str">
        <f aca="false">IF(A215="","",IF(D215&lt;500,25,IF(D215&lt;=1500,75,199)))</f>
        <v/>
      </c>
      <c r="F215" s="15" t="str">
        <f aca="false">IF(B215="","",INT((B215-Settings!$B$2)/7)+1)</f>
        <v/>
      </c>
      <c r="G215" s="15" t="str">
        <f aca="false">IF(F215="","",F215&gt;=Settings!$B$5)</f>
        <v/>
      </c>
      <c r="H215" s="13"/>
      <c r="I215" s="13"/>
      <c r="J215" s="15" t="str">
        <f aca="false">IF(A215="","",IFERROR(INDEX(Requests!$E$2:$E$301,MATCH(A215,Requests!$A$2:$A$301,0)),FALSE()))</f>
        <v/>
      </c>
      <c r="K215" s="15" t="str">
        <f aca="false">IF(A215="","",IF(AND(H215="Y",COUNTIFS($C$2:C215,C215,$H$2:H215,"Y")=1),1,0))</f>
        <v/>
      </c>
      <c r="L215" s="8"/>
      <c r="M215" s="8"/>
    </row>
    <row r="216" customFormat="false" ht="15" hidden="false" customHeight="false" outlineLevel="0" collapsed="false">
      <c r="A216" s="13"/>
      <c r="B216" s="18"/>
      <c r="C216" s="13"/>
      <c r="D216" s="20" t="str">
        <f aca="false">IF(A216="","",SUMIFS(Quotes!$E$2:$E$301,Quotes!$B$2:$B$301,A216,Quotes!$C$2:$C$301,C216))</f>
        <v/>
      </c>
      <c r="E216" s="20" t="str">
        <f aca="false">IF(A216="","",IF(D216&lt;500,25,IF(D216&lt;=1500,75,199)))</f>
        <v/>
      </c>
      <c r="F216" s="15" t="str">
        <f aca="false">IF(B216="","",INT((B216-Settings!$B$2)/7)+1)</f>
        <v/>
      </c>
      <c r="G216" s="15" t="str">
        <f aca="false">IF(F216="","",F216&gt;=Settings!$B$5)</f>
        <v/>
      </c>
      <c r="H216" s="13"/>
      <c r="I216" s="13"/>
      <c r="J216" s="15" t="str">
        <f aca="false">IF(A216="","",IFERROR(INDEX(Requests!$E$2:$E$301,MATCH(A216,Requests!$A$2:$A$301,0)),FALSE()))</f>
        <v/>
      </c>
      <c r="K216" s="15" t="str">
        <f aca="false">IF(A216="","",IF(AND(H216="Y",COUNTIFS($C$2:C216,C216,$H$2:H216,"Y")=1),1,0))</f>
        <v/>
      </c>
      <c r="L216" s="8"/>
      <c r="M216" s="8"/>
    </row>
    <row r="217" customFormat="false" ht="15" hidden="false" customHeight="false" outlineLevel="0" collapsed="false">
      <c r="A217" s="13"/>
      <c r="B217" s="18"/>
      <c r="C217" s="13"/>
      <c r="D217" s="20" t="str">
        <f aca="false">IF(A217="","",SUMIFS(Quotes!$E$2:$E$301,Quotes!$B$2:$B$301,A217,Quotes!$C$2:$C$301,C217))</f>
        <v/>
      </c>
      <c r="E217" s="20" t="str">
        <f aca="false">IF(A217="","",IF(D217&lt;500,25,IF(D217&lt;=1500,75,199)))</f>
        <v/>
      </c>
      <c r="F217" s="15" t="str">
        <f aca="false">IF(B217="","",INT((B217-Settings!$B$2)/7)+1)</f>
        <v/>
      </c>
      <c r="G217" s="15" t="str">
        <f aca="false">IF(F217="","",F217&gt;=Settings!$B$5)</f>
        <v/>
      </c>
      <c r="H217" s="13"/>
      <c r="I217" s="13"/>
      <c r="J217" s="15" t="str">
        <f aca="false">IF(A217="","",IFERROR(INDEX(Requests!$E$2:$E$301,MATCH(A217,Requests!$A$2:$A$301,0)),FALSE()))</f>
        <v/>
      </c>
      <c r="K217" s="15" t="str">
        <f aca="false">IF(A217="","",IF(AND(H217="Y",COUNTIFS($C$2:C217,C217,$H$2:H217,"Y")=1),1,0))</f>
        <v/>
      </c>
      <c r="L217" s="8"/>
      <c r="M217" s="8"/>
    </row>
    <row r="218" customFormat="false" ht="15" hidden="false" customHeight="false" outlineLevel="0" collapsed="false">
      <c r="A218" s="13"/>
      <c r="B218" s="18"/>
      <c r="C218" s="13"/>
      <c r="D218" s="20" t="str">
        <f aca="false">IF(A218="","",SUMIFS(Quotes!$E$2:$E$301,Quotes!$B$2:$B$301,A218,Quotes!$C$2:$C$301,C218))</f>
        <v/>
      </c>
      <c r="E218" s="20" t="str">
        <f aca="false">IF(A218="","",IF(D218&lt;500,25,IF(D218&lt;=1500,75,199)))</f>
        <v/>
      </c>
      <c r="F218" s="15" t="str">
        <f aca="false">IF(B218="","",INT((B218-Settings!$B$2)/7)+1)</f>
        <v/>
      </c>
      <c r="G218" s="15" t="str">
        <f aca="false">IF(F218="","",F218&gt;=Settings!$B$5)</f>
        <v/>
      </c>
      <c r="H218" s="13"/>
      <c r="I218" s="13"/>
      <c r="J218" s="15" t="str">
        <f aca="false">IF(A218="","",IFERROR(INDEX(Requests!$E$2:$E$301,MATCH(A218,Requests!$A$2:$A$301,0)),FALSE()))</f>
        <v/>
      </c>
      <c r="K218" s="15" t="str">
        <f aca="false">IF(A218="","",IF(AND(H218="Y",COUNTIFS($C$2:C218,C218,$H$2:H218,"Y")=1),1,0))</f>
        <v/>
      </c>
      <c r="L218" s="8"/>
      <c r="M218" s="8"/>
    </row>
    <row r="219" customFormat="false" ht="15" hidden="false" customHeight="false" outlineLevel="0" collapsed="false">
      <c r="A219" s="13"/>
      <c r="B219" s="18"/>
      <c r="C219" s="13"/>
      <c r="D219" s="20" t="str">
        <f aca="false">IF(A219="","",SUMIFS(Quotes!$E$2:$E$301,Quotes!$B$2:$B$301,A219,Quotes!$C$2:$C$301,C219))</f>
        <v/>
      </c>
      <c r="E219" s="20" t="str">
        <f aca="false">IF(A219="","",IF(D219&lt;500,25,IF(D219&lt;=1500,75,199)))</f>
        <v/>
      </c>
      <c r="F219" s="15" t="str">
        <f aca="false">IF(B219="","",INT((B219-Settings!$B$2)/7)+1)</f>
        <v/>
      </c>
      <c r="G219" s="15" t="str">
        <f aca="false">IF(F219="","",F219&gt;=Settings!$B$5)</f>
        <v/>
      </c>
      <c r="H219" s="13"/>
      <c r="I219" s="13"/>
      <c r="J219" s="15" t="str">
        <f aca="false">IF(A219="","",IFERROR(INDEX(Requests!$E$2:$E$301,MATCH(A219,Requests!$A$2:$A$301,0)),FALSE()))</f>
        <v/>
      </c>
      <c r="K219" s="15" t="str">
        <f aca="false">IF(A219="","",IF(AND(H219="Y",COUNTIFS($C$2:C219,C219,$H$2:H219,"Y")=1),1,0))</f>
        <v/>
      </c>
      <c r="L219" s="8"/>
      <c r="M219" s="8"/>
    </row>
    <row r="220" customFormat="false" ht="15" hidden="false" customHeight="false" outlineLevel="0" collapsed="false">
      <c r="A220" s="13"/>
      <c r="B220" s="18"/>
      <c r="C220" s="13"/>
      <c r="D220" s="20" t="str">
        <f aca="false">IF(A220="","",SUMIFS(Quotes!$E$2:$E$301,Quotes!$B$2:$B$301,A220,Quotes!$C$2:$C$301,C220))</f>
        <v/>
      </c>
      <c r="E220" s="20" t="str">
        <f aca="false">IF(A220="","",IF(D220&lt;500,25,IF(D220&lt;=1500,75,199)))</f>
        <v/>
      </c>
      <c r="F220" s="15" t="str">
        <f aca="false">IF(B220="","",INT((B220-Settings!$B$2)/7)+1)</f>
        <v/>
      </c>
      <c r="G220" s="15" t="str">
        <f aca="false">IF(F220="","",F220&gt;=Settings!$B$5)</f>
        <v/>
      </c>
      <c r="H220" s="13"/>
      <c r="I220" s="13"/>
      <c r="J220" s="15" t="str">
        <f aca="false">IF(A220="","",IFERROR(INDEX(Requests!$E$2:$E$301,MATCH(A220,Requests!$A$2:$A$301,0)),FALSE()))</f>
        <v/>
      </c>
      <c r="K220" s="15" t="str">
        <f aca="false">IF(A220="","",IF(AND(H220="Y",COUNTIFS($C$2:C220,C220,$H$2:H220,"Y")=1),1,0))</f>
        <v/>
      </c>
      <c r="L220" s="8"/>
      <c r="M220" s="8"/>
    </row>
    <row r="221" customFormat="false" ht="15" hidden="false" customHeight="false" outlineLevel="0" collapsed="false">
      <c r="A221" s="13"/>
      <c r="B221" s="18"/>
      <c r="C221" s="13"/>
      <c r="D221" s="20" t="str">
        <f aca="false">IF(A221="","",SUMIFS(Quotes!$E$2:$E$301,Quotes!$B$2:$B$301,A221,Quotes!$C$2:$C$301,C221))</f>
        <v/>
      </c>
      <c r="E221" s="20" t="str">
        <f aca="false">IF(A221="","",IF(D221&lt;500,25,IF(D221&lt;=1500,75,199)))</f>
        <v/>
      </c>
      <c r="F221" s="15" t="str">
        <f aca="false">IF(B221="","",INT((B221-Settings!$B$2)/7)+1)</f>
        <v/>
      </c>
      <c r="G221" s="15" t="str">
        <f aca="false">IF(F221="","",F221&gt;=Settings!$B$5)</f>
        <v/>
      </c>
      <c r="H221" s="13"/>
      <c r="I221" s="13"/>
      <c r="J221" s="15" t="str">
        <f aca="false">IF(A221="","",IFERROR(INDEX(Requests!$E$2:$E$301,MATCH(A221,Requests!$A$2:$A$301,0)),FALSE()))</f>
        <v/>
      </c>
      <c r="K221" s="15" t="str">
        <f aca="false">IF(A221="","",IF(AND(H221="Y",COUNTIFS($C$2:C221,C221,$H$2:H221,"Y")=1),1,0))</f>
        <v/>
      </c>
      <c r="L221" s="8"/>
      <c r="M221" s="8"/>
    </row>
    <row r="222" customFormat="false" ht="15" hidden="false" customHeight="false" outlineLevel="0" collapsed="false">
      <c r="A222" s="13"/>
      <c r="B222" s="18"/>
      <c r="C222" s="13"/>
      <c r="D222" s="20" t="str">
        <f aca="false">IF(A222="","",SUMIFS(Quotes!$E$2:$E$301,Quotes!$B$2:$B$301,A222,Quotes!$C$2:$C$301,C222))</f>
        <v/>
      </c>
      <c r="E222" s="20" t="str">
        <f aca="false">IF(A222="","",IF(D222&lt;500,25,IF(D222&lt;=1500,75,199)))</f>
        <v/>
      </c>
      <c r="F222" s="15" t="str">
        <f aca="false">IF(B222="","",INT((B222-Settings!$B$2)/7)+1)</f>
        <v/>
      </c>
      <c r="G222" s="15" t="str">
        <f aca="false">IF(F222="","",F222&gt;=Settings!$B$5)</f>
        <v/>
      </c>
      <c r="H222" s="13"/>
      <c r="I222" s="13"/>
      <c r="J222" s="15" t="str">
        <f aca="false">IF(A222="","",IFERROR(INDEX(Requests!$E$2:$E$301,MATCH(A222,Requests!$A$2:$A$301,0)),FALSE()))</f>
        <v/>
      </c>
      <c r="K222" s="15" t="str">
        <f aca="false">IF(A222="","",IF(AND(H222="Y",COUNTIFS($C$2:C222,C222,$H$2:H222,"Y")=1),1,0))</f>
        <v/>
      </c>
      <c r="L222" s="8"/>
      <c r="M222" s="8"/>
    </row>
    <row r="223" customFormat="false" ht="15" hidden="false" customHeight="false" outlineLevel="0" collapsed="false">
      <c r="A223" s="13"/>
      <c r="B223" s="18"/>
      <c r="C223" s="13"/>
      <c r="D223" s="20" t="str">
        <f aca="false">IF(A223="","",SUMIFS(Quotes!$E$2:$E$301,Quotes!$B$2:$B$301,A223,Quotes!$C$2:$C$301,C223))</f>
        <v/>
      </c>
      <c r="E223" s="20" t="str">
        <f aca="false">IF(A223="","",IF(D223&lt;500,25,IF(D223&lt;=1500,75,199)))</f>
        <v/>
      </c>
      <c r="F223" s="15" t="str">
        <f aca="false">IF(B223="","",INT((B223-Settings!$B$2)/7)+1)</f>
        <v/>
      </c>
      <c r="G223" s="15" t="str">
        <f aca="false">IF(F223="","",F223&gt;=Settings!$B$5)</f>
        <v/>
      </c>
      <c r="H223" s="13"/>
      <c r="I223" s="13"/>
      <c r="J223" s="15" t="str">
        <f aca="false">IF(A223="","",IFERROR(INDEX(Requests!$E$2:$E$301,MATCH(A223,Requests!$A$2:$A$301,0)),FALSE()))</f>
        <v/>
      </c>
      <c r="K223" s="15" t="str">
        <f aca="false">IF(A223="","",IF(AND(H223="Y",COUNTIFS($C$2:C223,C223,$H$2:H223,"Y")=1),1,0))</f>
        <v/>
      </c>
      <c r="L223" s="8"/>
      <c r="M223" s="8"/>
    </row>
    <row r="224" customFormat="false" ht="15" hidden="false" customHeight="false" outlineLevel="0" collapsed="false">
      <c r="A224" s="13"/>
      <c r="B224" s="18"/>
      <c r="C224" s="13"/>
      <c r="D224" s="20" t="str">
        <f aca="false">IF(A224="","",SUMIFS(Quotes!$E$2:$E$301,Quotes!$B$2:$B$301,A224,Quotes!$C$2:$C$301,C224))</f>
        <v/>
      </c>
      <c r="E224" s="20" t="str">
        <f aca="false">IF(A224="","",IF(D224&lt;500,25,IF(D224&lt;=1500,75,199)))</f>
        <v/>
      </c>
      <c r="F224" s="15" t="str">
        <f aca="false">IF(B224="","",INT((B224-Settings!$B$2)/7)+1)</f>
        <v/>
      </c>
      <c r="G224" s="15" t="str">
        <f aca="false">IF(F224="","",F224&gt;=Settings!$B$5)</f>
        <v/>
      </c>
      <c r="H224" s="13"/>
      <c r="I224" s="13"/>
      <c r="J224" s="15" t="str">
        <f aca="false">IF(A224="","",IFERROR(INDEX(Requests!$E$2:$E$301,MATCH(A224,Requests!$A$2:$A$301,0)),FALSE()))</f>
        <v/>
      </c>
      <c r="K224" s="15" t="str">
        <f aca="false">IF(A224="","",IF(AND(H224="Y",COUNTIFS($C$2:C224,C224,$H$2:H224,"Y")=1),1,0))</f>
        <v/>
      </c>
      <c r="L224" s="8"/>
      <c r="M224" s="8"/>
    </row>
    <row r="225" customFormat="false" ht="15" hidden="false" customHeight="false" outlineLevel="0" collapsed="false">
      <c r="A225" s="13"/>
      <c r="B225" s="18"/>
      <c r="C225" s="13"/>
      <c r="D225" s="20" t="str">
        <f aca="false">IF(A225="","",SUMIFS(Quotes!$E$2:$E$301,Quotes!$B$2:$B$301,A225,Quotes!$C$2:$C$301,C225))</f>
        <v/>
      </c>
      <c r="E225" s="20" t="str">
        <f aca="false">IF(A225="","",IF(D225&lt;500,25,IF(D225&lt;=1500,75,199)))</f>
        <v/>
      </c>
      <c r="F225" s="15" t="str">
        <f aca="false">IF(B225="","",INT((B225-Settings!$B$2)/7)+1)</f>
        <v/>
      </c>
      <c r="G225" s="15" t="str">
        <f aca="false">IF(F225="","",F225&gt;=Settings!$B$5)</f>
        <v/>
      </c>
      <c r="H225" s="13"/>
      <c r="I225" s="13"/>
      <c r="J225" s="15" t="str">
        <f aca="false">IF(A225="","",IFERROR(INDEX(Requests!$E$2:$E$301,MATCH(A225,Requests!$A$2:$A$301,0)),FALSE()))</f>
        <v/>
      </c>
      <c r="K225" s="15" t="str">
        <f aca="false">IF(A225="","",IF(AND(H225="Y",COUNTIFS($C$2:C225,C225,$H$2:H225,"Y")=1),1,0))</f>
        <v/>
      </c>
      <c r="L225" s="8"/>
      <c r="M225" s="8"/>
    </row>
    <row r="226" customFormat="false" ht="15" hidden="false" customHeight="false" outlineLevel="0" collapsed="false">
      <c r="A226" s="13"/>
      <c r="B226" s="18"/>
      <c r="C226" s="13"/>
      <c r="D226" s="20" t="str">
        <f aca="false">IF(A226="","",SUMIFS(Quotes!$E$2:$E$301,Quotes!$B$2:$B$301,A226,Quotes!$C$2:$C$301,C226))</f>
        <v/>
      </c>
      <c r="E226" s="20" t="str">
        <f aca="false">IF(A226="","",IF(D226&lt;500,25,IF(D226&lt;=1500,75,199)))</f>
        <v/>
      </c>
      <c r="F226" s="15" t="str">
        <f aca="false">IF(B226="","",INT((B226-Settings!$B$2)/7)+1)</f>
        <v/>
      </c>
      <c r="G226" s="15" t="str">
        <f aca="false">IF(F226="","",F226&gt;=Settings!$B$5)</f>
        <v/>
      </c>
      <c r="H226" s="13"/>
      <c r="I226" s="13"/>
      <c r="J226" s="15" t="str">
        <f aca="false">IF(A226="","",IFERROR(INDEX(Requests!$E$2:$E$301,MATCH(A226,Requests!$A$2:$A$301,0)),FALSE()))</f>
        <v/>
      </c>
      <c r="K226" s="15" t="str">
        <f aca="false">IF(A226="","",IF(AND(H226="Y",COUNTIFS($C$2:C226,C226,$H$2:H226,"Y")=1),1,0))</f>
        <v/>
      </c>
      <c r="L226" s="8"/>
      <c r="M226" s="8"/>
    </row>
    <row r="227" customFormat="false" ht="15" hidden="false" customHeight="false" outlineLevel="0" collapsed="false">
      <c r="A227" s="13"/>
      <c r="B227" s="18"/>
      <c r="C227" s="13"/>
      <c r="D227" s="20" t="str">
        <f aca="false">IF(A227="","",SUMIFS(Quotes!$E$2:$E$301,Quotes!$B$2:$B$301,A227,Quotes!$C$2:$C$301,C227))</f>
        <v/>
      </c>
      <c r="E227" s="20" t="str">
        <f aca="false">IF(A227="","",IF(D227&lt;500,25,IF(D227&lt;=1500,75,199)))</f>
        <v/>
      </c>
      <c r="F227" s="15" t="str">
        <f aca="false">IF(B227="","",INT((B227-Settings!$B$2)/7)+1)</f>
        <v/>
      </c>
      <c r="G227" s="15" t="str">
        <f aca="false">IF(F227="","",F227&gt;=Settings!$B$5)</f>
        <v/>
      </c>
      <c r="H227" s="13"/>
      <c r="I227" s="13"/>
      <c r="J227" s="15" t="str">
        <f aca="false">IF(A227="","",IFERROR(INDEX(Requests!$E$2:$E$301,MATCH(A227,Requests!$A$2:$A$301,0)),FALSE()))</f>
        <v/>
      </c>
      <c r="K227" s="15" t="str">
        <f aca="false">IF(A227="","",IF(AND(H227="Y",COUNTIFS($C$2:C227,C227,$H$2:H227,"Y")=1),1,0))</f>
        <v/>
      </c>
      <c r="L227" s="8"/>
      <c r="M227" s="8"/>
    </row>
    <row r="228" customFormat="false" ht="15" hidden="false" customHeight="false" outlineLevel="0" collapsed="false">
      <c r="A228" s="13"/>
      <c r="B228" s="18"/>
      <c r="C228" s="13"/>
      <c r="D228" s="20" t="str">
        <f aca="false">IF(A228="","",SUMIFS(Quotes!$E$2:$E$301,Quotes!$B$2:$B$301,A228,Quotes!$C$2:$C$301,C228))</f>
        <v/>
      </c>
      <c r="E228" s="20" t="str">
        <f aca="false">IF(A228="","",IF(D228&lt;500,25,IF(D228&lt;=1500,75,199)))</f>
        <v/>
      </c>
      <c r="F228" s="15" t="str">
        <f aca="false">IF(B228="","",INT((B228-Settings!$B$2)/7)+1)</f>
        <v/>
      </c>
      <c r="G228" s="15" t="str">
        <f aca="false">IF(F228="","",F228&gt;=Settings!$B$5)</f>
        <v/>
      </c>
      <c r="H228" s="13"/>
      <c r="I228" s="13"/>
      <c r="J228" s="15" t="str">
        <f aca="false">IF(A228="","",IFERROR(INDEX(Requests!$E$2:$E$301,MATCH(A228,Requests!$A$2:$A$301,0)),FALSE()))</f>
        <v/>
      </c>
      <c r="K228" s="15" t="str">
        <f aca="false">IF(A228="","",IF(AND(H228="Y",COUNTIFS($C$2:C228,C228,$H$2:H228,"Y")=1),1,0))</f>
        <v/>
      </c>
      <c r="L228" s="8"/>
      <c r="M228" s="8"/>
    </row>
    <row r="229" customFormat="false" ht="15" hidden="false" customHeight="false" outlineLevel="0" collapsed="false">
      <c r="A229" s="13"/>
      <c r="B229" s="18"/>
      <c r="C229" s="13"/>
      <c r="D229" s="20" t="str">
        <f aca="false">IF(A229="","",SUMIFS(Quotes!$E$2:$E$301,Quotes!$B$2:$B$301,A229,Quotes!$C$2:$C$301,C229))</f>
        <v/>
      </c>
      <c r="E229" s="20" t="str">
        <f aca="false">IF(A229="","",IF(D229&lt;500,25,IF(D229&lt;=1500,75,199)))</f>
        <v/>
      </c>
      <c r="F229" s="15" t="str">
        <f aca="false">IF(B229="","",INT((B229-Settings!$B$2)/7)+1)</f>
        <v/>
      </c>
      <c r="G229" s="15" t="str">
        <f aca="false">IF(F229="","",F229&gt;=Settings!$B$5)</f>
        <v/>
      </c>
      <c r="H229" s="13"/>
      <c r="I229" s="13"/>
      <c r="J229" s="15" t="str">
        <f aca="false">IF(A229="","",IFERROR(INDEX(Requests!$E$2:$E$301,MATCH(A229,Requests!$A$2:$A$301,0)),FALSE()))</f>
        <v/>
      </c>
      <c r="K229" s="15" t="str">
        <f aca="false">IF(A229="","",IF(AND(H229="Y",COUNTIFS($C$2:C229,C229,$H$2:H229,"Y")=1),1,0))</f>
        <v/>
      </c>
      <c r="L229" s="8"/>
      <c r="M229" s="8"/>
    </row>
    <row r="230" customFormat="false" ht="15" hidden="false" customHeight="false" outlineLevel="0" collapsed="false">
      <c r="A230" s="13"/>
      <c r="B230" s="18"/>
      <c r="C230" s="13"/>
      <c r="D230" s="20" t="str">
        <f aca="false">IF(A230="","",SUMIFS(Quotes!$E$2:$E$301,Quotes!$B$2:$B$301,A230,Quotes!$C$2:$C$301,C230))</f>
        <v/>
      </c>
      <c r="E230" s="20" t="str">
        <f aca="false">IF(A230="","",IF(D230&lt;500,25,IF(D230&lt;=1500,75,199)))</f>
        <v/>
      </c>
      <c r="F230" s="15" t="str">
        <f aca="false">IF(B230="","",INT((B230-Settings!$B$2)/7)+1)</f>
        <v/>
      </c>
      <c r="G230" s="15" t="str">
        <f aca="false">IF(F230="","",F230&gt;=Settings!$B$5)</f>
        <v/>
      </c>
      <c r="H230" s="13"/>
      <c r="I230" s="13"/>
      <c r="J230" s="15" t="str">
        <f aca="false">IF(A230="","",IFERROR(INDEX(Requests!$E$2:$E$301,MATCH(A230,Requests!$A$2:$A$301,0)),FALSE()))</f>
        <v/>
      </c>
      <c r="K230" s="15" t="str">
        <f aca="false">IF(A230="","",IF(AND(H230="Y",COUNTIFS($C$2:C230,C230,$H$2:H230,"Y")=1),1,0))</f>
        <v/>
      </c>
      <c r="L230" s="8"/>
      <c r="M230" s="8"/>
    </row>
    <row r="231" customFormat="false" ht="15" hidden="false" customHeight="false" outlineLevel="0" collapsed="false">
      <c r="A231" s="13"/>
      <c r="B231" s="18"/>
      <c r="C231" s="13"/>
      <c r="D231" s="20" t="str">
        <f aca="false">IF(A231="","",SUMIFS(Quotes!$E$2:$E$301,Quotes!$B$2:$B$301,A231,Quotes!$C$2:$C$301,C231))</f>
        <v/>
      </c>
      <c r="E231" s="20" t="str">
        <f aca="false">IF(A231="","",IF(D231&lt;500,25,IF(D231&lt;=1500,75,199)))</f>
        <v/>
      </c>
      <c r="F231" s="15" t="str">
        <f aca="false">IF(B231="","",INT((B231-Settings!$B$2)/7)+1)</f>
        <v/>
      </c>
      <c r="G231" s="15" t="str">
        <f aca="false">IF(F231="","",F231&gt;=Settings!$B$5)</f>
        <v/>
      </c>
      <c r="H231" s="13"/>
      <c r="I231" s="13"/>
      <c r="J231" s="15" t="str">
        <f aca="false">IF(A231="","",IFERROR(INDEX(Requests!$E$2:$E$301,MATCH(A231,Requests!$A$2:$A$301,0)),FALSE()))</f>
        <v/>
      </c>
      <c r="K231" s="15" t="str">
        <f aca="false">IF(A231="","",IF(AND(H231="Y",COUNTIFS($C$2:C231,C231,$H$2:H231,"Y")=1),1,0))</f>
        <v/>
      </c>
      <c r="L231" s="8"/>
      <c r="M231" s="8"/>
    </row>
    <row r="232" customFormat="false" ht="15" hidden="false" customHeight="false" outlineLevel="0" collapsed="false">
      <c r="A232" s="13"/>
      <c r="B232" s="18"/>
      <c r="C232" s="13"/>
      <c r="D232" s="20" t="str">
        <f aca="false">IF(A232="","",SUMIFS(Quotes!$E$2:$E$301,Quotes!$B$2:$B$301,A232,Quotes!$C$2:$C$301,C232))</f>
        <v/>
      </c>
      <c r="E232" s="20" t="str">
        <f aca="false">IF(A232="","",IF(D232&lt;500,25,IF(D232&lt;=1500,75,199)))</f>
        <v/>
      </c>
      <c r="F232" s="15" t="str">
        <f aca="false">IF(B232="","",INT((B232-Settings!$B$2)/7)+1)</f>
        <v/>
      </c>
      <c r="G232" s="15" t="str">
        <f aca="false">IF(F232="","",F232&gt;=Settings!$B$5)</f>
        <v/>
      </c>
      <c r="H232" s="13"/>
      <c r="I232" s="13"/>
      <c r="J232" s="15" t="str">
        <f aca="false">IF(A232="","",IFERROR(INDEX(Requests!$E$2:$E$301,MATCH(A232,Requests!$A$2:$A$301,0)),FALSE()))</f>
        <v/>
      </c>
      <c r="K232" s="15" t="str">
        <f aca="false">IF(A232="","",IF(AND(H232="Y",COUNTIFS($C$2:C232,C232,$H$2:H232,"Y")=1),1,0))</f>
        <v/>
      </c>
      <c r="L232" s="8"/>
      <c r="M232" s="8"/>
    </row>
    <row r="233" customFormat="false" ht="15" hidden="false" customHeight="false" outlineLevel="0" collapsed="false">
      <c r="A233" s="13"/>
      <c r="B233" s="18"/>
      <c r="C233" s="13"/>
      <c r="D233" s="20" t="str">
        <f aca="false">IF(A233="","",SUMIFS(Quotes!$E$2:$E$301,Quotes!$B$2:$B$301,A233,Quotes!$C$2:$C$301,C233))</f>
        <v/>
      </c>
      <c r="E233" s="20" t="str">
        <f aca="false">IF(A233="","",IF(D233&lt;500,25,IF(D233&lt;=1500,75,199)))</f>
        <v/>
      </c>
      <c r="F233" s="15" t="str">
        <f aca="false">IF(B233="","",INT((B233-Settings!$B$2)/7)+1)</f>
        <v/>
      </c>
      <c r="G233" s="15" t="str">
        <f aca="false">IF(F233="","",F233&gt;=Settings!$B$5)</f>
        <v/>
      </c>
      <c r="H233" s="13"/>
      <c r="I233" s="13"/>
      <c r="J233" s="15" t="str">
        <f aca="false">IF(A233="","",IFERROR(INDEX(Requests!$E$2:$E$301,MATCH(A233,Requests!$A$2:$A$301,0)),FALSE()))</f>
        <v/>
      </c>
      <c r="K233" s="15" t="str">
        <f aca="false">IF(A233="","",IF(AND(H233="Y",COUNTIFS($C$2:C233,C233,$H$2:H233,"Y")=1),1,0))</f>
        <v/>
      </c>
      <c r="L233" s="8"/>
      <c r="M233" s="8"/>
    </row>
    <row r="234" customFormat="false" ht="15" hidden="false" customHeight="false" outlineLevel="0" collapsed="false">
      <c r="A234" s="13"/>
      <c r="B234" s="18"/>
      <c r="C234" s="13"/>
      <c r="D234" s="20" t="str">
        <f aca="false">IF(A234="","",SUMIFS(Quotes!$E$2:$E$301,Quotes!$B$2:$B$301,A234,Quotes!$C$2:$C$301,C234))</f>
        <v/>
      </c>
      <c r="E234" s="20" t="str">
        <f aca="false">IF(A234="","",IF(D234&lt;500,25,IF(D234&lt;=1500,75,199)))</f>
        <v/>
      </c>
      <c r="F234" s="15" t="str">
        <f aca="false">IF(B234="","",INT((B234-Settings!$B$2)/7)+1)</f>
        <v/>
      </c>
      <c r="G234" s="15" t="str">
        <f aca="false">IF(F234="","",F234&gt;=Settings!$B$5)</f>
        <v/>
      </c>
      <c r="H234" s="13"/>
      <c r="I234" s="13"/>
      <c r="J234" s="15" t="str">
        <f aca="false">IF(A234="","",IFERROR(INDEX(Requests!$E$2:$E$301,MATCH(A234,Requests!$A$2:$A$301,0)),FALSE()))</f>
        <v/>
      </c>
      <c r="K234" s="15" t="str">
        <f aca="false">IF(A234="","",IF(AND(H234="Y",COUNTIFS($C$2:C234,C234,$H$2:H234,"Y")=1),1,0))</f>
        <v/>
      </c>
      <c r="L234" s="8"/>
      <c r="M234" s="8"/>
    </row>
    <row r="235" customFormat="false" ht="15" hidden="false" customHeight="false" outlineLevel="0" collapsed="false">
      <c r="A235" s="13"/>
      <c r="B235" s="18"/>
      <c r="C235" s="13"/>
      <c r="D235" s="20" t="str">
        <f aca="false">IF(A235="","",SUMIFS(Quotes!$E$2:$E$301,Quotes!$B$2:$B$301,A235,Quotes!$C$2:$C$301,C235))</f>
        <v/>
      </c>
      <c r="E235" s="20" t="str">
        <f aca="false">IF(A235="","",IF(D235&lt;500,25,IF(D235&lt;=1500,75,199)))</f>
        <v/>
      </c>
      <c r="F235" s="15" t="str">
        <f aca="false">IF(B235="","",INT((B235-Settings!$B$2)/7)+1)</f>
        <v/>
      </c>
      <c r="G235" s="15" t="str">
        <f aca="false">IF(F235="","",F235&gt;=Settings!$B$5)</f>
        <v/>
      </c>
      <c r="H235" s="13"/>
      <c r="I235" s="13"/>
      <c r="J235" s="15" t="str">
        <f aca="false">IF(A235="","",IFERROR(INDEX(Requests!$E$2:$E$301,MATCH(A235,Requests!$A$2:$A$301,0)),FALSE()))</f>
        <v/>
      </c>
      <c r="K235" s="15" t="str">
        <f aca="false">IF(A235="","",IF(AND(H235="Y",COUNTIFS($C$2:C235,C235,$H$2:H235,"Y")=1),1,0))</f>
        <v/>
      </c>
      <c r="L235" s="8"/>
      <c r="M235" s="8"/>
    </row>
    <row r="236" customFormat="false" ht="15" hidden="false" customHeight="false" outlineLevel="0" collapsed="false">
      <c r="A236" s="13"/>
      <c r="B236" s="18"/>
      <c r="C236" s="13"/>
      <c r="D236" s="20" t="str">
        <f aca="false">IF(A236="","",SUMIFS(Quotes!$E$2:$E$301,Quotes!$B$2:$B$301,A236,Quotes!$C$2:$C$301,C236))</f>
        <v/>
      </c>
      <c r="E236" s="20" t="str">
        <f aca="false">IF(A236="","",IF(D236&lt;500,25,IF(D236&lt;=1500,75,199)))</f>
        <v/>
      </c>
      <c r="F236" s="15" t="str">
        <f aca="false">IF(B236="","",INT((B236-Settings!$B$2)/7)+1)</f>
        <v/>
      </c>
      <c r="G236" s="15" t="str">
        <f aca="false">IF(F236="","",F236&gt;=Settings!$B$5)</f>
        <v/>
      </c>
      <c r="H236" s="13"/>
      <c r="I236" s="13"/>
      <c r="J236" s="15" t="str">
        <f aca="false">IF(A236="","",IFERROR(INDEX(Requests!$E$2:$E$301,MATCH(A236,Requests!$A$2:$A$301,0)),FALSE()))</f>
        <v/>
      </c>
      <c r="K236" s="15" t="str">
        <f aca="false">IF(A236="","",IF(AND(H236="Y",COUNTIFS($C$2:C236,C236,$H$2:H236,"Y")=1),1,0))</f>
        <v/>
      </c>
      <c r="L236" s="8"/>
      <c r="M236" s="8"/>
    </row>
    <row r="237" customFormat="false" ht="15" hidden="false" customHeight="false" outlineLevel="0" collapsed="false">
      <c r="A237" s="13"/>
      <c r="B237" s="18"/>
      <c r="C237" s="13"/>
      <c r="D237" s="20" t="str">
        <f aca="false">IF(A237="","",SUMIFS(Quotes!$E$2:$E$301,Quotes!$B$2:$B$301,A237,Quotes!$C$2:$C$301,C237))</f>
        <v/>
      </c>
      <c r="E237" s="20" t="str">
        <f aca="false">IF(A237="","",IF(D237&lt;500,25,IF(D237&lt;=1500,75,199)))</f>
        <v/>
      </c>
      <c r="F237" s="15" t="str">
        <f aca="false">IF(B237="","",INT((B237-Settings!$B$2)/7)+1)</f>
        <v/>
      </c>
      <c r="G237" s="15" t="str">
        <f aca="false">IF(F237="","",F237&gt;=Settings!$B$5)</f>
        <v/>
      </c>
      <c r="H237" s="13"/>
      <c r="I237" s="13"/>
      <c r="J237" s="15" t="str">
        <f aca="false">IF(A237="","",IFERROR(INDEX(Requests!$E$2:$E$301,MATCH(A237,Requests!$A$2:$A$301,0)),FALSE()))</f>
        <v/>
      </c>
      <c r="K237" s="15" t="str">
        <f aca="false">IF(A237="","",IF(AND(H237="Y",COUNTIFS($C$2:C237,C237,$H$2:H237,"Y")=1),1,0))</f>
        <v/>
      </c>
      <c r="L237" s="8"/>
      <c r="M237" s="8"/>
    </row>
    <row r="238" customFormat="false" ht="15" hidden="false" customHeight="false" outlineLevel="0" collapsed="false">
      <c r="A238" s="13"/>
      <c r="B238" s="18"/>
      <c r="C238" s="13"/>
      <c r="D238" s="20" t="str">
        <f aca="false">IF(A238="","",SUMIFS(Quotes!$E$2:$E$301,Quotes!$B$2:$B$301,A238,Quotes!$C$2:$C$301,C238))</f>
        <v/>
      </c>
      <c r="E238" s="20" t="str">
        <f aca="false">IF(A238="","",IF(D238&lt;500,25,IF(D238&lt;=1500,75,199)))</f>
        <v/>
      </c>
      <c r="F238" s="15" t="str">
        <f aca="false">IF(B238="","",INT((B238-Settings!$B$2)/7)+1)</f>
        <v/>
      </c>
      <c r="G238" s="15" t="str">
        <f aca="false">IF(F238="","",F238&gt;=Settings!$B$5)</f>
        <v/>
      </c>
      <c r="H238" s="13"/>
      <c r="I238" s="13"/>
      <c r="J238" s="15" t="str">
        <f aca="false">IF(A238="","",IFERROR(INDEX(Requests!$E$2:$E$301,MATCH(A238,Requests!$A$2:$A$301,0)),FALSE()))</f>
        <v/>
      </c>
      <c r="K238" s="15" t="str">
        <f aca="false">IF(A238="","",IF(AND(H238="Y",COUNTIFS($C$2:C238,C238,$H$2:H238,"Y")=1),1,0))</f>
        <v/>
      </c>
      <c r="L238" s="8"/>
      <c r="M238" s="8"/>
    </row>
    <row r="239" customFormat="false" ht="15" hidden="false" customHeight="false" outlineLevel="0" collapsed="false">
      <c r="A239" s="13"/>
      <c r="B239" s="18"/>
      <c r="C239" s="13"/>
      <c r="D239" s="20" t="str">
        <f aca="false">IF(A239="","",SUMIFS(Quotes!$E$2:$E$301,Quotes!$B$2:$B$301,A239,Quotes!$C$2:$C$301,C239))</f>
        <v/>
      </c>
      <c r="E239" s="20" t="str">
        <f aca="false">IF(A239="","",IF(D239&lt;500,25,IF(D239&lt;=1500,75,199)))</f>
        <v/>
      </c>
      <c r="F239" s="15" t="str">
        <f aca="false">IF(B239="","",INT((B239-Settings!$B$2)/7)+1)</f>
        <v/>
      </c>
      <c r="G239" s="15" t="str">
        <f aca="false">IF(F239="","",F239&gt;=Settings!$B$5)</f>
        <v/>
      </c>
      <c r="H239" s="13"/>
      <c r="I239" s="13"/>
      <c r="J239" s="15" t="str">
        <f aca="false">IF(A239="","",IFERROR(INDEX(Requests!$E$2:$E$301,MATCH(A239,Requests!$A$2:$A$301,0)),FALSE()))</f>
        <v/>
      </c>
      <c r="K239" s="15" t="str">
        <f aca="false">IF(A239="","",IF(AND(H239="Y",COUNTIFS($C$2:C239,C239,$H$2:H239,"Y")=1),1,0))</f>
        <v/>
      </c>
      <c r="L239" s="8"/>
      <c r="M239" s="8"/>
    </row>
    <row r="240" customFormat="false" ht="15" hidden="false" customHeight="false" outlineLevel="0" collapsed="false">
      <c r="A240" s="13"/>
      <c r="B240" s="18"/>
      <c r="C240" s="13"/>
      <c r="D240" s="20" t="str">
        <f aca="false">IF(A240="","",SUMIFS(Quotes!$E$2:$E$301,Quotes!$B$2:$B$301,A240,Quotes!$C$2:$C$301,C240))</f>
        <v/>
      </c>
      <c r="E240" s="20" t="str">
        <f aca="false">IF(A240="","",IF(D240&lt;500,25,IF(D240&lt;=1500,75,199)))</f>
        <v/>
      </c>
      <c r="F240" s="15" t="str">
        <f aca="false">IF(B240="","",INT((B240-Settings!$B$2)/7)+1)</f>
        <v/>
      </c>
      <c r="G240" s="15" t="str">
        <f aca="false">IF(F240="","",F240&gt;=Settings!$B$5)</f>
        <v/>
      </c>
      <c r="H240" s="13"/>
      <c r="I240" s="13"/>
      <c r="J240" s="15" t="str">
        <f aca="false">IF(A240="","",IFERROR(INDEX(Requests!$E$2:$E$301,MATCH(A240,Requests!$A$2:$A$301,0)),FALSE()))</f>
        <v/>
      </c>
      <c r="K240" s="15" t="str">
        <f aca="false">IF(A240="","",IF(AND(H240="Y",COUNTIFS($C$2:C240,C240,$H$2:H240,"Y")=1),1,0))</f>
        <v/>
      </c>
      <c r="L240" s="8"/>
      <c r="M240" s="8"/>
    </row>
    <row r="241" customFormat="false" ht="15" hidden="false" customHeight="false" outlineLevel="0" collapsed="false">
      <c r="A241" s="13"/>
      <c r="B241" s="18"/>
      <c r="C241" s="13"/>
      <c r="D241" s="20" t="str">
        <f aca="false">IF(A241="","",SUMIFS(Quotes!$E$2:$E$301,Quotes!$B$2:$B$301,A241,Quotes!$C$2:$C$301,C241))</f>
        <v/>
      </c>
      <c r="E241" s="20" t="str">
        <f aca="false">IF(A241="","",IF(D241&lt;500,25,IF(D241&lt;=1500,75,199)))</f>
        <v/>
      </c>
      <c r="F241" s="15" t="str">
        <f aca="false">IF(B241="","",INT((B241-Settings!$B$2)/7)+1)</f>
        <v/>
      </c>
      <c r="G241" s="15" t="str">
        <f aca="false">IF(F241="","",F241&gt;=Settings!$B$5)</f>
        <v/>
      </c>
      <c r="H241" s="13"/>
      <c r="I241" s="13"/>
      <c r="J241" s="15" t="str">
        <f aca="false">IF(A241="","",IFERROR(INDEX(Requests!$E$2:$E$301,MATCH(A241,Requests!$A$2:$A$301,0)),FALSE()))</f>
        <v/>
      </c>
      <c r="K241" s="15" t="str">
        <f aca="false">IF(A241="","",IF(AND(H241="Y",COUNTIFS($C$2:C241,C241,$H$2:H241,"Y")=1),1,0))</f>
        <v/>
      </c>
      <c r="L241" s="8"/>
      <c r="M241" s="8"/>
    </row>
    <row r="242" customFormat="false" ht="15" hidden="false" customHeight="false" outlineLevel="0" collapsed="false">
      <c r="A242" s="13"/>
      <c r="B242" s="18"/>
      <c r="C242" s="13"/>
      <c r="D242" s="20" t="str">
        <f aca="false">IF(A242="","",SUMIFS(Quotes!$E$2:$E$301,Quotes!$B$2:$B$301,A242,Quotes!$C$2:$C$301,C242))</f>
        <v/>
      </c>
      <c r="E242" s="20" t="str">
        <f aca="false">IF(A242="","",IF(D242&lt;500,25,IF(D242&lt;=1500,75,199)))</f>
        <v/>
      </c>
      <c r="F242" s="15" t="str">
        <f aca="false">IF(B242="","",INT((B242-Settings!$B$2)/7)+1)</f>
        <v/>
      </c>
      <c r="G242" s="15" t="str">
        <f aca="false">IF(F242="","",F242&gt;=Settings!$B$5)</f>
        <v/>
      </c>
      <c r="H242" s="13"/>
      <c r="I242" s="13"/>
      <c r="J242" s="15" t="str">
        <f aca="false">IF(A242="","",IFERROR(INDEX(Requests!$E$2:$E$301,MATCH(A242,Requests!$A$2:$A$301,0)),FALSE()))</f>
        <v/>
      </c>
      <c r="K242" s="15" t="str">
        <f aca="false">IF(A242="","",IF(AND(H242="Y",COUNTIFS($C$2:C242,C242,$H$2:H242,"Y")=1),1,0))</f>
        <v/>
      </c>
      <c r="L242" s="8"/>
      <c r="M242" s="8"/>
    </row>
    <row r="243" customFormat="false" ht="15" hidden="false" customHeight="false" outlineLevel="0" collapsed="false">
      <c r="A243" s="13"/>
      <c r="B243" s="18"/>
      <c r="C243" s="13"/>
      <c r="D243" s="20" t="str">
        <f aca="false">IF(A243="","",SUMIFS(Quotes!$E$2:$E$301,Quotes!$B$2:$B$301,A243,Quotes!$C$2:$C$301,C243))</f>
        <v/>
      </c>
      <c r="E243" s="20" t="str">
        <f aca="false">IF(A243="","",IF(D243&lt;500,25,IF(D243&lt;=1500,75,199)))</f>
        <v/>
      </c>
      <c r="F243" s="15" t="str">
        <f aca="false">IF(B243="","",INT((B243-Settings!$B$2)/7)+1)</f>
        <v/>
      </c>
      <c r="G243" s="15" t="str">
        <f aca="false">IF(F243="","",F243&gt;=Settings!$B$5)</f>
        <v/>
      </c>
      <c r="H243" s="13"/>
      <c r="I243" s="13"/>
      <c r="J243" s="15" t="str">
        <f aca="false">IF(A243="","",IFERROR(INDEX(Requests!$E$2:$E$301,MATCH(A243,Requests!$A$2:$A$301,0)),FALSE()))</f>
        <v/>
      </c>
      <c r="K243" s="15" t="str">
        <f aca="false">IF(A243="","",IF(AND(H243="Y",COUNTIFS($C$2:C243,C243,$H$2:H243,"Y")=1),1,0))</f>
        <v/>
      </c>
      <c r="L243" s="8"/>
      <c r="M243" s="8"/>
    </row>
    <row r="244" customFormat="false" ht="15" hidden="false" customHeight="false" outlineLevel="0" collapsed="false">
      <c r="A244" s="13"/>
      <c r="B244" s="18"/>
      <c r="C244" s="13"/>
      <c r="D244" s="20" t="str">
        <f aca="false">IF(A244="","",SUMIFS(Quotes!$E$2:$E$301,Quotes!$B$2:$B$301,A244,Quotes!$C$2:$C$301,C244))</f>
        <v/>
      </c>
      <c r="E244" s="20" t="str">
        <f aca="false">IF(A244="","",IF(D244&lt;500,25,IF(D244&lt;=1500,75,199)))</f>
        <v/>
      </c>
      <c r="F244" s="15" t="str">
        <f aca="false">IF(B244="","",INT((B244-Settings!$B$2)/7)+1)</f>
        <v/>
      </c>
      <c r="G244" s="15" t="str">
        <f aca="false">IF(F244="","",F244&gt;=Settings!$B$5)</f>
        <v/>
      </c>
      <c r="H244" s="13"/>
      <c r="I244" s="13"/>
      <c r="J244" s="15" t="str">
        <f aca="false">IF(A244="","",IFERROR(INDEX(Requests!$E$2:$E$301,MATCH(A244,Requests!$A$2:$A$301,0)),FALSE()))</f>
        <v/>
      </c>
      <c r="K244" s="15" t="str">
        <f aca="false">IF(A244="","",IF(AND(H244="Y",COUNTIFS($C$2:C244,C244,$H$2:H244,"Y")=1),1,0))</f>
        <v/>
      </c>
      <c r="L244" s="8"/>
      <c r="M244" s="8"/>
    </row>
    <row r="245" customFormat="false" ht="15" hidden="false" customHeight="false" outlineLevel="0" collapsed="false">
      <c r="A245" s="13"/>
      <c r="B245" s="18"/>
      <c r="C245" s="13"/>
      <c r="D245" s="20" t="str">
        <f aca="false">IF(A245="","",SUMIFS(Quotes!$E$2:$E$301,Quotes!$B$2:$B$301,A245,Quotes!$C$2:$C$301,C245))</f>
        <v/>
      </c>
      <c r="E245" s="20" t="str">
        <f aca="false">IF(A245="","",IF(D245&lt;500,25,IF(D245&lt;=1500,75,199)))</f>
        <v/>
      </c>
      <c r="F245" s="15" t="str">
        <f aca="false">IF(B245="","",INT((B245-Settings!$B$2)/7)+1)</f>
        <v/>
      </c>
      <c r="G245" s="15" t="str">
        <f aca="false">IF(F245="","",F245&gt;=Settings!$B$5)</f>
        <v/>
      </c>
      <c r="H245" s="13"/>
      <c r="I245" s="13"/>
      <c r="J245" s="15" t="str">
        <f aca="false">IF(A245="","",IFERROR(INDEX(Requests!$E$2:$E$301,MATCH(A245,Requests!$A$2:$A$301,0)),FALSE()))</f>
        <v/>
      </c>
      <c r="K245" s="15" t="str">
        <f aca="false">IF(A245="","",IF(AND(H245="Y",COUNTIFS($C$2:C245,C245,$H$2:H245,"Y")=1),1,0))</f>
        <v/>
      </c>
      <c r="L245" s="8"/>
      <c r="M245" s="8"/>
    </row>
    <row r="246" customFormat="false" ht="15" hidden="false" customHeight="false" outlineLevel="0" collapsed="false">
      <c r="A246" s="13"/>
      <c r="B246" s="18"/>
      <c r="C246" s="13"/>
      <c r="D246" s="20" t="str">
        <f aca="false">IF(A246="","",SUMIFS(Quotes!$E$2:$E$301,Quotes!$B$2:$B$301,A246,Quotes!$C$2:$C$301,C246))</f>
        <v/>
      </c>
      <c r="E246" s="20" t="str">
        <f aca="false">IF(A246="","",IF(D246&lt;500,25,IF(D246&lt;=1500,75,199)))</f>
        <v/>
      </c>
      <c r="F246" s="15" t="str">
        <f aca="false">IF(B246="","",INT((B246-Settings!$B$2)/7)+1)</f>
        <v/>
      </c>
      <c r="G246" s="15" t="str">
        <f aca="false">IF(F246="","",F246&gt;=Settings!$B$5)</f>
        <v/>
      </c>
      <c r="H246" s="13"/>
      <c r="I246" s="13"/>
      <c r="J246" s="15" t="str">
        <f aca="false">IF(A246="","",IFERROR(INDEX(Requests!$E$2:$E$301,MATCH(A246,Requests!$A$2:$A$301,0)),FALSE()))</f>
        <v/>
      </c>
      <c r="K246" s="15" t="str">
        <f aca="false">IF(A246="","",IF(AND(H246="Y",COUNTIFS($C$2:C246,C246,$H$2:H246,"Y")=1),1,0))</f>
        <v/>
      </c>
      <c r="L246" s="8"/>
      <c r="M246" s="8"/>
    </row>
    <row r="247" customFormat="false" ht="15" hidden="false" customHeight="false" outlineLevel="0" collapsed="false">
      <c r="A247" s="13"/>
      <c r="B247" s="18"/>
      <c r="C247" s="13"/>
      <c r="D247" s="20" t="str">
        <f aca="false">IF(A247="","",SUMIFS(Quotes!$E$2:$E$301,Quotes!$B$2:$B$301,A247,Quotes!$C$2:$C$301,C247))</f>
        <v/>
      </c>
      <c r="E247" s="20" t="str">
        <f aca="false">IF(A247="","",IF(D247&lt;500,25,IF(D247&lt;=1500,75,199)))</f>
        <v/>
      </c>
      <c r="F247" s="15" t="str">
        <f aca="false">IF(B247="","",INT((B247-Settings!$B$2)/7)+1)</f>
        <v/>
      </c>
      <c r="G247" s="15" t="str">
        <f aca="false">IF(F247="","",F247&gt;=Settings!$B$5)</f>
        <v/>
      </c>
      <c r="H247" s="13"/>
      <c r="I247" s="13"/>
      <c r="J247" s="15" t="str">
        <f aca="false">IF(A247="","",IFERROR(INDEX(Requests!$E$2:$E$301,MATCH(A247,Requests!$A$2:$A$301,0)),FALSE()))</f>
        <v/>
      </c>
      <c r="K247" s="15" t="str">
        <f aca="false">IF(A247="","",IF(AND(H247="Y",COUNTIFS($C$2:C247,C247,$H$2:H247,"Y")=1),1,0))</f>
        <v/>
      </c>
      <c r="L247" s="8"/>
      <c r="M247" s="8"/>
    </row>
    <row r="248" customFormat="false" ht="15" hidden="false" customHeight="false" outlineLevel="0" collapsed="false">
      <c r="A248" s="13"/>
      <c r="B248" s="18"/>
      <c r="C248" s="13"/>
      <c r="D248" s="20" t="str">
        <f aca="false">IF(A248="","",SUMIFS(Quotes!$E$2:$E$301,Quotes!$B$2:$B$301,A248,Quotes!$C$2:$C$301,C248))</f>
        <v/>
      </c>
      <c r="E248" s="20" t="str">
        <f aca="false">IF(A248="","",IF(D248&lt;500,25,IF(D248&lt;=1500,75,199)))</f>
        <v/>
      </c>
      <c r="F248" s="15" t="str">
        <f aca="false">IF(B248="","",INT((B248-Settings!$B$2)/7)+1)</f>
        <v/>
      </c>
      <c r="G248" s="15" t="str">
        <f aca="false">IF(F248="","",F248&gt;=Settings!$B$5)</f>
        <v/>
      </c>
      <c r="H248" s="13"/>
      <c r="I248" s="13"/>
      <c r="J248" s="15" t="str">
        <f aca="false">IF(A248="","",IFERROR(INDEX(Requests!$E$2:$E$301,MATCH(A248,Requests!$A$2:$A$301,0)),FALSE()))</f>
        <v/>
      </c>
      <c r="K248" s="15" t="str">
        <f aca="false">IF(A248="","",IF(AND(H248="Y",COUNTIFS($C$2:C248,C248,$H$2:H248,"Y")=1),1,0))</f>
        <v/>
      </c>
      <c r="L248" s="8"/>
      <c r="M248" s="8"/>
    </row>
    <row r="249" customFormat="false" ht="15" hidden="false" customHeight="false" outlineLevel="0" collapsed="false">
      <c r="A249" s="13"/>
      <c r="B249" s="18"/>
      <c r="C249" s="13"/>
      <c r="D249" s="20" t="str">
        <f aca="false">IF(A249="","",SUMIFS(Quotes!$E$2:$E$301,Quotes!$B$2:$B$301,A249,Quotes!$C$2:$C$301,C249))</f>
        <v/>
      </c>
      <c r="E249" s="20" t="str">
        <f aca="false">IF(A249="","",IF(D249&lt;500,25,IF(D249&lt;=1500,75,199)))</f>
        <v/>
      </c>
      <c r="F249" s="15" t="str">
        <f aca="false">IF(B249="","",INT((B249-Settings!$B$2)/7)+1)</f>
        <v/>
      </c>
      <c r="G249" s="15" t="str">
        <f aca="false">IF(F249="","",F249&gt;=Settings!$B$5)</f>
        <v/>
      </c>
      <c r="H249" s="13"/>
      <c r="I249" s="13"/>
      <c r="J249" s="15" t="str">
        <f aca="false">IF(A249="","",IFERROR(INDEX(Requests!$E$2:$E$301,MATCH(A249,Requests!$A$2:$A$301,0)),FALSE()))</f>
        <v/>
      </c>
      <c r="K249" s="15" t="str">
        <f aca="false">IF(A249="","",IF(AND(H249="Y",COUNTIFS($C$2:C249,C249,$H$2:H249,"Y")=1),1,0))</f>
        <v/>
      </c>
      <c r="L249" s="8"/>
      <c r="M249" s="8"/>
    </row>
    <row r="250" customFormat="false" ht="15" hidden="false" customHeight="false" outlineLevel="0" collapsed="false">
      <c r="A250" s="13"/>
      <c r="B250" s="18"/>
      <c r="C250" s="13"/>
      <c r="D250" s="20" t="str">
        <f aca="false">IF(A250="","",SUMIFS(Quotes!$E$2:$E$301,Quotes!$B$2:$B$301,A250,Quotes!$C$2:$C$301,C250))</f>
        <v/>
      </c>
      <c r="E250" s="20" t="str">
        <f aca="false">IF(A250="","",IF(D250&lt;500,25,IF(D250&lt;=1500,75,199)))</f>
        <v/>
      </c>
      <c r="F250" s="15" t="str">
        <f aca="false">IF(B250="","",INT((B250-Settings!$B$2)/7)+1)</f>
        <v/>
      </c>
      <c r="G250" s="15" t="str">
        <f aca="false">IF(F250="","",F250&gt;=Settings!$B$5)</f>
        <v/>
      </c>
      <c r="H250" s="13"/>
      <c r="I250" s="13"/>
      <c r="J250" s="15" t="str">
        <f aca="false">IF(A250="","",IFERROR(INDEX(Requests!$E$2:$E$301,MATCH(A250,Requests!$A$2:$A$301,0)),FALSE()))</f>
        <v/>
      </c>
      <c r="K250" s="15" t="str">
        <f aca="false">IF(A250="","",IF(AND(H250="Y",COUNTIFS($C$2:C250,C250,$H$2:H250,"Y")=1),1,0))</f>
        <v/>
      </c>
      <c r="L250" s="8"/>
      <c r="M250" s="8"/>
    </row>
    <row r="251" customFormat="false" ht="15" hidden="false" customHeight="false" outlineLevel="0" collapsed="false">
      <c r="A251" s="13"/>
      <c r="B251" s="18"/>
      <c r="C251" s="13"/>
      <c r="D251" s="20" t="str">
        <f aca="false">IF(A251="","",SUMIFS(Quotes!$E$2:$E$301,Quotes!$B$2:$B$301,A251,Quotes!$C$2:$C$301,C251))</f>
        <v/>
      </c>
      <c r="E251" s="20" t="str">
        <f aca="false">IF(A251="","",IF(D251&lt;500,25,IF(D251&lt;=1500,75,199)))</f>
        <v/>
      </c>
      <c r="F251" s="15" t="str">
        <f aca="false">IF(B251="","",INT((B251-Settings!$B$2)/7)+1)</f>
        <v/>
      </c>
      <c r="G251" s="15" t="str">
        <f aca="false">IF(F251="","",F251&gt;=Settings!$B$5)</f>
        <v/>
      </c>
      <c r="H251" s="13"/>
      <c r="I251" s="13"/>
      <c r="J251" s="15" t="str">
        <f aca="false">IF(A251="","",IFERROR(INDEX(Requests!$E$2:$E$301,MATCH(A251,Requests!$A$2:$A$301,0)),FALSE()))</f>
        <v/>
      </c>
      <c r="K251" s="15" t="str">
        <f aca="false">IF(A251="","",IF(AND(H251="Y",COUNTIFS($C$2:C251,C251,$H$2:H251,"Y")=1),1,0))</f>
        <v/>
      </c>
      <c r="L251" s="8"/>
      <c r="M251" s="8"/>
    </row>
    <row r="252" customFormat="false" ht="15" hidden="false" customHeight="false" outlineLevel="0" collapsed="false">
      <c r="A252" s="13"/>
      <c r="B252" s="18"/>
      <c r="C252" s="13"/>
      <c r="D252" s="20" t="str">
        <f aca="false">IF(A252="","",SUMIFS(Quotes!$E$2:$E$301,Quotes!$B$2:$B$301,A252,Quotes!$C$2:$C$301,C252))</f>
        <v/>
      </c>
      <c r="E252" s="20" t="str">
        <f aca="false">IF(A252="","",IF(D252&lt;500,25,IF(D252&lt;=1500,75,199)))</f>
        <v/>
      </c>
      <c r="F252" s="15" t="str">
        <f aca="false">IF(B252="","",INT((B252-Settings!$B$2)/7)+1)</f>
        <v/>
      </c>
      <c r="G252" s="15" t="str">
        <f aca="false">IF(F252="","",F252&gt;=Settings!$B$5)</f>
        <v/>
      </c>
      <c r="H252" s="13"/>
      <c r="I252" s="13"/>
      <c r="J252" s="15" t="str">
        <f aca="false">IF(A252="","",IFERROR(INDEX(Requests!$E$2:$E$301,MATCH(A252,Requests!$A$2:$A$301,0)),FALSE()))</f>
        <v/>
      </c>
      <c r="K252" s="15" t="str">
        <f aca="false">IF(A252="","",IF(AND(H252="Y",COUNTIFS($C$2:C252,C252,$H$2:H252,"Y")=1),1,0))</f>
        <v/>
      </c>
      <c r="L252" s="8"/>
      <c r="M252" s="8"/>
    </row>
    <row r="253" customFormat="false" ht="15" hidden="false" customHeight="false" outlineLevel="0" collapsed="false">
      <c r="A253" s="13"/>
      <c r="B253" s="18"/>
      <c r="C253" s="13"/>
      <c r="D253" s="20" t="str">
        <f aca="false">IF(A253="","",SUMIFS(Quotes!$E$2:$E$301,Quotes!$B$2:$B$301,A253,Quotes!$C$2:$C$301,C253))</f>
        <v/>
      </c>
      <c r="E253" s="20" t="str">
        <f aca="false">IF(A253="","",IF(D253&lt;500,25,IF(D253&lt;=1500,75,199)))</f>
        <v/>
      </c>
      <c r="F253" s="15" t="str">
        <f aca="false">IF(B253="","",INT((B253-Settings!$B$2)/7)+1)</f>
        <v/>
      </c>
      <c r="G253" s="15" t="str">
        <f aca="false">IF(F253="","",F253&gt;=Settings!$B$5)</f>
        <v/>
      </c>
      <c r="H253" s="13"/>
      <c r="I253" s="13"/>
      <c r="J253" s="15" t="str">
        <f aca="false">IF(A253="","",IFERROR(INDEX(Requests!$E$2:$E$301,MATCH(A253,Requests!$A$2:$A$301,0)),FALSE()))</f>
        <v/>
      </c>
      <c r="K253" s="15" t="str">
        <f aca="false">IF(A253="","",IF(AND(H253="Y",COUNTIFS($C$2:C253,C253,$H$2:H253,"Y")=1),1,0))</f>
        <v/>
      </c>
      <c r="L253" s="8"/>
      <c r="M253" s="8"/>
    </row>
    <row r="254" customFormat="false" ht="15" hidden="false" customHeight="false" outlineLevel="0" collapsed="false">
      <c r="A254" s="13"/>
      <c r="B254" s="18"/>
      <c r="C254" s="13"/>
      <c r="D254" s="20" t="str">
        <f aca="false">IF(A254="","",SUMIFS(Quotes!$E$2:$E$301,Quotes!$B$2:$B$301,A254,Quotes!$C$2:$C$301,C254))</f>
        <v/>
      </c>
      <c r="E254" s="20" t="str">
        <f aca="false">IF(A254="","",IF(D254&lt;500,25,IF(D254&lt;=1500,75,199)))</f>
        <v/>
      </c>
      <c r="F254" s="15" t="str">
        <f aca="false">IF(B254="","",INT((B254-Settings!$B$2)/7)+1)</f>
        <v/>
      </c>
      <c r="G254" s="15" t="str">
        <f aca="false">IF(F254="","",F254&gt;=Settings!$B$5)</f>
        <v/>
      </c>
      <c r="H254" s="13"/>
      <c r="I254" s="13"/>
      <c r="J254" s="15" t="str">
        <f aca="false">IF(A254="","",IFERROR(INDEX(Requests!$E$2:$E$301,MATCH(A254,Requests!$A$2:$A$301,0)),FALSE()))</f>
        <v/>
      </c>
      <c r="K254" s="15" t="str">
        <f aca="false">IF(A254="","",IF(AND(H254="Y",COUNTIFS($C$2:C254,C254,$H$2:H254,"Y")=1),1,0))</f>
        <v/>
      </c>
      <c r="L254" s="8"/>
      <c r="M254" s="8"/>
    </row>
    <row r="255" customFormat="false" ht="15" hidden="false" customHeight="false" outlineLevel="0" collapsed="false">
      <c r="A255" s="13"/>
      <c r="B255" s="18"/>
      <c r="C255" s="13"/>
      <c r="D255" s="20" t="str">
        <f aca="false">IF(A255="","",SUMIFS(Quotes!$E$2:$E$301,Quotes!$B$2:$B$301,A255,Quotes!$C$2:$C$301,C255))</f>
        <v/>
      </c>
      <c r="E255" s="20" t="str">
        <f aca="false">IF(A255="","",IF(D255&lt;500,25,IF(D255&lt;=1500,75,199)))</f>
        <v/>
      </c>
      <c r="F255" s="15" t="str">
        <f aca="false">IF(B255="","",INT((B255-Settings!$B$2)/7)+1)</f>
        <v/>
      </c>
      <c r="G255" s="15" t="str">
        <f aca="false">IF(F255="","",F255&gt;=Settings!$B$5)</f>
        <v/>
      </c>
      <c r="H255" s="13"/>
      <c r="I255" s="13"/>
      <c r="J255" s="15" t="str">
        <f aca="false">IF(A255="","",IFERROR(INDEX(Requests!$E$2:$E$301,MATCH(A255,Requests!$A$2:$A$301,0)),FALSE()))</f>
        <v/>
      </c>
      <c r="K255" s="15" t="str">
        <f aca="false">IF(A255="","",IF(AND(H255="Y",COUNTIFS($C$2:C255,C255,$H$2:H255,"Y")=1),1,0))</f>
        <v/>
      </c>
      <c r="L255" s="8"/>
      <c r="M255" s="8"/>
    </row>
    <row r="256" customFormat="false" ht="15" hidden="false" customHeight="false" outlineLevel="0" collapsed="false">
      <c r="A256" s="13"/>
      <c r="B256" s="18"/>
      <c r="C256" s="13"/>
      <c r="D256" s="20" t="str">
        <f aca="false">IF(A256="","",SUMIFS(Quotes!$E$2:$E$301,Quotes!$B$2:$B$301,A256,Quotes!$C$2:$C$301,C256))</f>
        <v/>
      </c>
      <c r="E256" s="20" t="str">
        <f aca="false">IF(A256="","",IF(D256&lt;500,25,IF(D256&lt;=1500,75,199)))</f>
        <v/>
      </c>
      <c r="F256" s="15" t="str">
        <f aca="false">IF(B256="","",INT((B256-Settings!$B$2)/7)+1)</f>
        <v/>
      </c>
      <c r="G256" s="15" t="str">
        <f aca="false">IF(F256="","",F256&gt;=Settings!$B$5)</f>
        <v/>
      </c>
      <c r="H256" s="13"/>
      <c r="I256" s="13"/>
      <c r="J256" s="15" t="str">
        <f aca="false">IF(A256="","",IFERROR(INDEX(Requests!$E$2:$E$301,MATCH(A256,Requests!$A$2:$A$301,0)),FALSE()))</f>
        <v/>
      </c>
      <c r="K256" s="15" t="str">
        <f aca="false">IF(A256="","",IF(AND(H256="Y",COUNTIFS($C$2:C256,C256,$H$2:H256,"Y")=1),1,0))</f>
        <v/>
      </c>
      <c r="L256" s="8"/>
      <c r="M256" s="8"/>
    </row>
    <row r="257" customFormat="false" ht="15" hidden="false" customHeight="false" outlineLevel="0" collapsed="false">
      <c r="A257" s="13"/>
      <c r="B257" s="18"/>
      <c r="C257" s="13"/>
      <c r="D257" s="20" t="str">
        <f aca="false">IF(A257="","",SUMIFS(Quotes!$E$2:$E$301,Quotes!$B$2:$B$301,A257,Quotes!$C$2:$C$301,C257))</f>
        <v/>
      </c>
      <c r="E257" s="20" t="str">
        <f aca="false">IF(A257="","",IF(D257&lt;500,25,IF(D257&lt;=1500,75,199)))</f>
        <v/>
      </c>
      <c r="F257" s="15" t="str">
        <f aca="false">IF(B257="","",INT((B257-Settings!$B$2)/7)+1)</f>
        <v/>
      </c>
      <c r="G257" s="15" t="str">
        <f aca="false">IF(F257="","",F257&gt;=Settings!$B$5)</f>
        <v/>
      </c>
      <c r="H257" s="13"/>
      <c r="I257" s="13"/>
      <c r="J257" s="15" t="str">
        <f aca="false">IF(A257="","",IFERROR(INDEX(Requests!$E$2:$E$301,MATCH(A257,Requests!$A$2:$A$301,0)),FALSE()))</f>
        <v/>
      </c>
      <c r="K257" s="15" t="str">
        <f aca="false">IF(A257="","",IF(AND(H257="Y",COUNTIFS($C$2:C257,C257,$H$2:H257,"Y")=1),1,0))</f>
        <v/>
      </c>
      <c r="L257" s="8"/>
      <c r="M257" s="8"/>
    </row>
    <row r="258" customFormat="false" ht="15" hidden="false" customHeight="false" outlineLevel="0" collapsed="false">
      <c r="A258" s="13"/>
      <c r="B258" s="18"/>
      <c r="C258" s="13"/>
      <c r="D258" s="20" t="str">
        <f aca="false">IF(A258="","",SUMIFS(Quotes!$E$2:$E$301,Quotes!$B$2:$B$301,A258,Quotes!$C$2:$C$301,C258))</f>
        <v/>
      </c>
      <c r="E258" s="20" t="str">
        <f aca="false">IF(A258="","",IF(D258&lt;500,25,IF(D258&lt;=1500,75,199)))</f>
        <v/>
      </c>
      <c r="F258" s="15" t="str">
        <f aca="false">IF(B258="","",INT((B258-Settings!$B$2)/7)+1)</f>
        <v/>
      </c>
      <c r="G258" s="15" t="str">
        <f aca="false">IF(F258="","",F258&gt;=Settings!$B$5)</f>
        <v/>
      </c>
      <c r="H258" s="13"/>
      <c r="I258" s="13"/>
      <c r="J258" s="15" t="str">
        <f aca="false">IF(A258="","",IFERROR(INDEX(Requests!$E$2:$E$301,MATCH(A258,Requests!$A$2:$A$301,0)),FALSE()))</f>
        <v/>
      </c>
      <c r="K258" s="15" t="str">
        <f aca="false">IF(A258="","",IF(AND(H258="Y",COUNTIFS($C$2:C258,C258,$H$2:H258,"Y")=1),1,0))</f>
        <v/>
      </c>
      <c r="L258" s="8"/>
      <c r="M258" s="8"/>
    </row>
    <row r="259" customFormat="false" ht="15" hidden="false" customHeight="false" outlineLevel="0" collapsed="false">
      <c r="A259" s="13"/>
      <c r="B259" s="18"/>
      <c r="C259" s="13"/>
      <c r="D259" s="20" t="str">
        <f aca="false">IF(A259="","",SUMIFS(Quotes!$E$2:$E$301,Quotes!$B$2:$B$301,A259,Quotes!$C$2:$C$301,C259))</f>
        <v/>
      </c>
      <c r="E259" s="20" t="str">
        <f aca="false">IF(A259="","",IF(D259&lt;500,25,IF(D259&lt;=1500,75,199)))</f>
        <v/>
      </c>
      <c r="F259" s="15" t="str">
        <f aca="false">IF(B259="","",INT((B259-Settings!$B$2)/7)+1)</f>
        <v/>
      </c>
      <c r="G259" s="15" t="str">
        <f aca="false">IF(F259="","",F259&gt;=Settings!$B$5)</f>
        <v/>
      </c>
      <c r="H259" s="13"/>
      <c r="I259" s="13"/>
      <c r="J259" s="15" t="str">
        <f aca="false">IF(A259="","",IFERROR(INDEX(Requests!$E$2:$E$301,MATCH(A259,Requests!$A$2:$A$301,0)),FALSE()))</f>
        <v/>
      </c>
      <c r="K259" s="15" t="str">
        <f aca="false">IF(A259="","",IF(AND(H259="Y",COUNTIFS($C$2:C259,C259,$H$2:H259,"Y")=1),1,0))</f>
        <v/>
      </c>
      <c r="L259" s="8"/>
      <c r="M259" s="8"/>
    </row>
    <row r="260" customFormat="false" ht="15" hidden="false" customHeight="false" outlineLevel="0" collapsed="false">
      <c r="A260" s="13"/>
      <c r="B260" s="18"/>
      <c r="C260" s="13"/>
      <c r="D260" s="20" t="str">
        <f aca="false">IF(A260="","",SUMIFS(Quotes!$E$2:$E$301,Quotes!$B$2:$B$301,A260,Quotes!$C$2:$C$301,C260))</f>
        <v/>
      </c>
      <c r="E260" s="20" t="str">
        <f aca="false">IF(A260="","",IF(D260&lt;500,25,IF(D260&lt;=1500,75,199)))</f>
        <v/>
      </c>
      <c r="F260" s="15" t="str">
        <f aca="false">IF(B260="","",INT((B260-Settings!$B$2)/7)+1)</f>
        <v/>
      </c>
      <c r="G260" s="15" t="str">
        <f aca="false">IF(F260="","",F260&gt;=Settings!$B$5)</f>
        <v/>
      </c>
      <c r="H260" s="13"/>
      <c r="I260" s="13"/>
      <c r="J260" s="15" t="str">
        <f aca="false">IF(A260="","",IFERROR(INDEX(Requests!$E$2:$E$301,MATCH(A260,Requests!$A$2:$A$301,0)),FALSE()))</f>
        <v/>
      </c>
      <c r="K260" s="15" t="str">
        <f aca="false">IF(A260="","",IF(AND(H260="Y",COUNTIFS($C$2:C260,C260,$H$2:H260,"Y")=1),1,0))</f>
        <v/>
      </c>
      <c r="L260" s="8"/>
      <c r="M260" s="8"/>
    </row>
    <row r="261" customFormat="false" ht="15" hidden="false" customHeight="false" outlineLevel="0" collapsed="false">
      <c r="A261" s="13"/>
      <c r="B261" s="18"/>
      <c r="C261" s="13"/>
      <c r="D261" s="20" t="str">
        <f aca="false">IF(A261="","",SUMIFS(Quotes!$E$2:$E$301,Quotes!$B$2:$B$301,A261,Quotes!$C$2:$C$301,C261))</f>
        <v/>
      </c>
      <c r="E261" s="20" t="str">
        <f aca="false">IF(A261="","",IF(D261&lt;500,25,IF(D261&lt;=1500,75,199)))</f>
        <v/>
      </c>
      <c r="F261" s="15" t="str">
        <f aca="false">IF(B261="","",INT((B261-Settings!$B$2)/7)+1)</f>
        <v/>
      </c>
      <c r="G261" s="15" t="str">
        <f aca="false">IF(F261="","",F261&gt;=Settings!$B$5)</f>
        <v/>
      </c>
      <c r="H261" s="13"/>
      <c r="I261" s="13"/>
      <c r="J261" s="15" t="str">
        <f aca="false">IF(A261="","",IFERROR(INDEX(Requests!$E$2:$E$301,MATCH(A261,Requests!$A$2:$A$301,0)),FALSE()))</f>
        <v/>
      </c>
      <c r="K261" s="15" t="str">
        <f aca="false">IF(A261="","",IF(AND(H261="Y",COUNTIFS($C$2:C261,C261,$H$2:H261,"Y")=1),1,0))</f>
        <v/>
      </c>
      <c r="L261" s="8"/>
      <c r="M261" s="8"/>
    </row>
    <row r="262" customFormat="false" ht="15" hidden="false" customHeight="false" outlineLevel="0" collapsed="false">
      <c r="A262" s="13"/>
      <c r="B262" s="18"/>
      <c r="C262" s="13"/>
      <c r="D262" s="20" t="str">
        <f aca="false">IF(A262="","",SUMIFS(Quotes!$E$2:$E$301,Quotes!$B$2:$B$301,A262,Quotes!$C$2:$C$301,C262))</f>
        <v/>
      </c>
      <c r="E262" s="20" t="str">
        <f aca="false">IF(A262="","",IF(D262&lt;500,25,IF(D262&lt;=1500,75,199)))</f>
        <v/>
      </c>
      <c r="F262" s="15" t="str">
        <f aca="false">IF(B262="","",INT((B262-Settings!$B$2)/7)+1)</f>
        <v/>
      </c>
      <c r="G262" s="15" t="str">
        <f aca="false">IF(F262="","",F262&gt;=Settings!$B$5)</f>
        <v/>
      </c>
      <c r="H262" s="13"/>
      <c r="I262" s="13"/>
      <c r="J262" s="15" t="str">
        <f aca="false">IF(A262="","",IFERROR(INDEX(Requests!$E$2:$E$301,MATCH(A262,Requests!$A$2:$A$301,0)),FALSE()))</f>
        <v/>
      </c>
      <c r="K262" s="15" t="str">
        <f aca="false">IF(A262="","",IF(AND(H262="Y",COUNTIFS($C$2:C262,C262,$H$2:H262,"Y")=1),1,0))</f>
        <v/>
      </c>
      <c r="L262" s="8"/>
      <c r="M262" s="8"/>
    </row>
    <row r="263" customFormat="false" ht="15" hidden="false" customHeight="false" outlineLevel="0" collapsed="false">
      <c r="A263" s="13"/>
      <c r="B263" s="18"/>
      <c r="C263" s="13"/>
      <c r="D263" s="20" t="str">
        <f aca="false">IF(A263="","",SUMIFS(Quotes!$E$2:$E$301,Quotes!$B$2:$B$301,A263,Quotes!$C$2:$C$301,C263))</f>
        <v/>
      </c>
      <c r="E263" s="20" t="str">
        <f aca="false">IF(A263="","",IF(D263&lt;500,25,IF(D263&lt;=1500,75,199)))</f>
        <v/>
      </c>
      <c r="F263" s="15" t="str">
        <f aca="false">IF(B263="","",INT((B263-Settings!$B$2)/7)+1)</f>
        <v/>
      </c>
      <c r="G263" s="15" t="str">
        <f aca="false">IF(F263="","",F263&gt;=Settings!$B$5)</f>
        <v/>
      </c>
      <c r="H263" s="13"/>
      <c r="I263" s="13"/>
      <c r="J263" s="15" t="str">
        <f aca="false">IF(A263="","",IFERROR(INDEX(Requests!$E$2:$E$301,MATCH(A263,Requests!$A$2:$A$301,0)),FALSE()))</f>
        <v/>
      </c>
      <c r="K263" s="15" t="str">
        <f aca="false">IF(A263="","",IF(AND(H263="Y",COUNTIFS($C$2:C263,C263,$H$2:H263,"Y")=1),1,0))</f>
        <v/>
      </c>
      <c r="L263" s="8"/>
      <c r="M263" s="8"/>
    </row>
    <row r="264" customFormat="false" ht="15" hidden="false" customHeight="false" outlineLevel="0" collapsed="false">
      <c r="A264" s="13"/>
      <c r="B264" s="18"/>
      <c r="C264" s="13"/>
      <c r="D264" s="20" t="str">
        <f aca="false">IF(A264="","",SUMIFS(Quotes!$E$2:$E$301,Quotes!$B$2:$B$301,A264,Quotes!$C$2:$C$301,C264))</f>
        <v/>
      </c>
      <c r="E264" s="20" t="str">
        <f aca="false">IF(A264="","",IF(D264&lt;500,25,IF(D264&lt;=1500,75,199)))</f>
        <v/>
      </c>
      <c r="F264" s="15" t="str">
        <f aca="false">IF(B264="","",INT((B264-Settings!$B$2)/7)+1)</f>
        <v/>
      </c>
      <c r="G264" s="15" t="str">
        <f aca="false">IF(F264="","",F264&gt;=Settings!$B$5)</f>
        <v/>
      </c>
      <c r="H264" s="13"/>
      <c r="I264" s="13"/>
      <c r="J264" s="15" t="str">
        <f aca="false">IF(A264="","",IFERROR(INDEX(Requests!$E$2:$E$301,MATCH(A264,Requests!$A$2:$A$301,0)),FALSE()))</f>
        <v/>
      </c>
      <c r="K264" s="15" t="str">
        <f aca="false">IF(A264="","",IF(AND(H264="Y",COUNTIFS($C$2:C264,C264,$H$2:H264,"Y")=1),1,0))</f>
        <v/>
      </c>
      <c r="L264" s="8"/>
      <c r="M264" s="8"/>
    </row>
    <row r="265" customFormat="false" ht="15" hidden="false" customHeight="false" outlineLevel="0" collapsed="false">
      <c r="A265" s="13"/>
      <c r="B265" s="18"/>
      <c r="C265" s="13"/>
      <c r="D265" s="20" t="str">
        <f aca="false">IF(A265="","",SUMIFS(Quotes!$E$2:$E$301,Quotes!$B$2:$B$301,A265,Quotes!$C$2:$C$301,C265))</f>
        <v/>
      </c>
      <c r="E265" s="20" t="str">
        <f aca="false">IF(A265="","",IF(D265&lt;500,25,IF(D265&lt;=1500,75,199)))</f>
        <v/>
      </c>
      <c r="F265" s="15" t="str">
        <f aca="false">IF(B265="","",INT((B265-Settings!$B$2)/7)+1)</f>
        <v/>
      </c>
      <c r="G265" s="15" t="str">
        <f aca="false">IF(F265="","",F265&gt;=Settings!$B$5)</f>
        <v/>
      </c>
      <c r="H265" s="13"/>
      <c r="I265" s="13"/>
      <c r="J265" s="15" t="str">
        <f aca="false">IF(A265="","",IFERROR(INDEX(Requests!$E$2:$E$301,MATCH(A265,Requests!$A$2:$A$301,0)),FALSE()))</f>
        <v/>
      </c>
      <c r="K265" s="15" t="str">
        <f aca="false">IF(A265="","",IF(AND(H265="Y",COUNTIFS($C$2:C265,C265,$H$2:H265,"Y")=1),1,0))</f>
        <v/>
      </c>
      <c r="L265" s="8"/>
      <c r="M265" s="8"/>
    </row>
    <row r="266" customFormat="false" ht="15" hidden="false" customHeight="false" outlineLevel="0" collapsed="false">
      <c r="A266" s="13"/>
      <c r="B266" s="18"/>
      <c r="C266" s="13"/>
      <c r="D266" s="20" t="str">
        <f aca="false">IF(A266="","",SUMIFS(Quotes!$E$2:$E$301,Quotes!$B$2:$B$301,A266,Quotes!$C$2:$C$301,C266))</f>
        <v/>
      </c>
      <c r="E266" s="20" t="str">
        <f aca="false">IF(A266="","",IF(D266&lt;500,25,IF(D266&lt;=1500,75,199)))</f>
        <v/>
      </c>
      <c r="F266" s="15" t="str">
        <f aca="false">IF(B266="","",INT((B266-Settings!$B$2)/7)+1)</f>
        <v/>
      </c>
      <c r="G266" s="15" t="str">
        <f aca="false">IF(F266="","",F266&gt;=Settings!$B$5)</f>
        <v/>
      </c>
      <c r="H266" s="13"/>
      <c r="I266" s="13"/>
      <c r="J266" s="15" t="str">
        <f aca="false">IF(A266="","",IFERROR(INDEX(Requests!$E$2:$E$301,MATCH(A266,Requests!$A$2:$A$301,0)),FALSE()))</f>
        <v/>
      </c>
      <c r="K266" s="15" t="str">
        <f aca="false">IF(A266="","",IF(AND(H266="Y",COUNTIFS($C$2:C266,C266,$H$2:H266,"Y")=1),1,0))</f>
        <v/>
      </c>
      <c r="L266" s="8"/>
      <c r="M266" s="8"/>
    </row>
    <row r="267" customFormat="false" ht="15" hidden="false" customHeight="false" outlineLevel="0" collapsed="false">
      <c r="A267" s="13"/>
      <c r="B267" s="18"/>
      <c r="C267" s="13"/>
      <c r="D267" s="20" t="str">
        <f aca="false">IF(A267="","",SUMIFS(Quotes!$E$2:$E$301,Quotes!$B$2:$B$301,A267,Quotes!$C$2:$C$301,C267))</f>
        <v/>
      </c>
      <c r="E267" s="20" t="str">
        <f aca="false">IF(A267="","",IF(D267&lt;500,25,IF(D267&lt;=1500,75,199)))</f>
        <v/>
      </c>
      <c r="F267" s="15" t="str">
        <f aca="false">IF(B267="","",INT((B267-Settings!$B$2)/7)+1)</f>
        <v/>
      </c>
      <c r="G267" s="15" t="str">
        <f aca="false">IF(F267="","",F267&gt;=Settings!$B$5)</f>
        <v/>
      </c>
      <c r="H267" s="13"/>
      <c r="I267" s="13"/>
      <c r="J267" s="15" t="str">
        <f aca="false">IF(A267="","",IFERROR(INDEX(Requests!$E$2:$E$301,MATCH(A267,Requests!$A$2:$A$301,0)),FALSE()))</f>
        <v/>
      </c>
      <c r="K267" s="15" t="str">
        <f aca="false">IF(A267="","",IF(AND(H267="Y",COUNTIFS($C$2:C267,C267,$H$2:H267,"Y")=1),1,0))</f>
        <v/>
      </c>
      <c r="L267" s="8"/>
      <c r="M267" s="8"/>
    </row>
    <row r="268" customFormat="false" ht="15" hidden="false" customHeight="false" outlineLevel="0" collapsed="false">
      <c r="A268" s="13"/>
      <c r="B268" s="18"/>
      <c r="C268" s="13"/>
      <c r="D268" s="20" t="str">
        <f aca="false">IF(A268="","",SUMIFS(Quotes!$E$2:$E$301,Quotes!$B$2:$B$301,A268,Quotes!$C$2:$C$301,C268))</f>
        <v/>
      </c>
      <c r="E268" s="20" t="str">
        <f aca="false">IF(A268="","",IF(D268&lt;500,25,IF(D268&lt;=1500,75,199)))</f>
        <v/>
      </c>
      <c r="F268" s="15" t="str">
        <f aca="false">IF(B268="","",INT((B268-Settings!$B$2)/7)+1)</f>
        <v/>
      </c>
      <c r="G268" s="15" t="str">
        <f aca="false">IF(F268="","",F268&gt;=Settings!$B$5)</f>
        <v/>
      </c>
      <c r="H268" s="13"/>
      <c r="I268" s="13"/>
      <c r="J268" s="15" t="str">
        <f aca="false">IF(A268="","",IFERROR(INDEX(Requests!$E$2:$E$301,MATCH(A268,Requests!$A$2:$A$301,0)),FALSE()))</f>
        <v/>
      </c>
      <c r="K268" s="15" t="str">
        <f aca="false">IF(A268="","",IF(AND(H268="Y",COUNTIFS($C$2:C268,C268,$H$2:H268,"Y")=1),1,0))</f>
        <v/>
      </c>
      <c r="L268" s="8"/>
      <c r="M268" s="8"/>
    </row>
    <row r="269" customFormat="false" ht="15" hidden="false" customHeight="false" outlineLevel="0" collapsed="false">
      <c r="A269" s="13"/>
      <c r="B269" s="18"/>
      <c r="C269" s="13"/>
      <c r="D269" s="20" t="str">
        <f aca="false">IF(A269="","",SUMIFS(Quotes!$E$2:$E$301,Quotes!$B$2:$B$301,A269,Quotes!$C$2:$C$301,C269))</f>
        <v/>
      </c>
      <c r="E269" s="20" t="str">
        <f aca="false">IF(A269="","",IF(D269&lt;500,25,IF(D269&lt;=1500,75,199)))</f>
        <v/>
      </c>
      <c r="F269" s="15" t="str">
        <f aca="false">IF(B269="","",INT((B269-Settings!$B$2)/7)+1)</f>
        <v/>
      </c>
      <c r="G269" s="15" t="str">
        <f aca="false">IF(F269="","",F269&gt;=Settings!$B$5)</f>
        <v/>
      </c>
      <c r="H269" s="13"/>
      <c r="I269" s="13"/>
      <c r="J269" s="15" t="str">
        <f aca="false">IF(A269="","",IFERROR(INDEX(Requests!$E$2:$E$301,MATCH(A269,Requests!$A$2:$A$301,0)),FALSE()))</f>
        <v/>
      </c>
      <c r="K269" s="15" t="str">
        <f aca="false">IF(A269="","",IF(AND(H269="Y",COUNTIFS($C$2:C269,C269,$H$2:H269,"Y")=1),1,0))</f>
        <v/>
      </c>
      <c r="L269" s="8"/>
      <c r="M269" s="8"/>
    </row>
    <row r="270" customFormat="false" ht="15" hidden="false" customHeight="false" outlineLevel="0" collapsed="false">
      <c r="A270" s="13"/>
      <c r="B270" s="18"/>
      <c r="C270" s="13"/>
      <c r="D270" s="20" t="str">
        <f aca="false">IF(A270="","",SUMIFS(Quotes!$E$2:$E$301,Quotes!$B$2:$B$301,A270,Quotes!$C$2:$C$301,C270))</f>
        <v/>
      </c>
      <c r="E270" s="20" t="str">
        <f aca="false">IF(A270="","",IF(D270&lt;500,25,IF(D270&lt;=1500,75,199)))</f>
        <v/>
      </c>
      <c r="F270" s="15" t="str">
        <f aca="false">IF(B270="","",INT((B270-Settings!$B$2)/7)+1)</f>
        <v/>
      </c>
      <c r="G270" s="15" t="str">
        <f aca="false">IF(F270="","",F270&gt;=Settings!$B$5)</f>
        <v/>
      </c>
      <c r="H270" s="13"/>
      <c r="I270" s="13"/>
      <c r="J270" s="15" t="str">
        <f aca="false">IF(A270="","",IFERROR(INDEX(Requests!$E$2:$E$301,MATCH(A270,Requests!$A$2:$A$301,0)),FALSE()))</f>
        <v/>
      </c>
      <c r="K270" s="15" t="str">
        <f aca="false">IF(A270="","",IF(AND(H270="Y",COUNTIFS($C$2:C270,C270,$H$2:H270,"Y")=1),1,0))</f>
        <v/>
      </c>
      <c r="L270" s="8"/>
      <c r="M270" s="8"/>
    </row>
    <row r="271" customFormat="false" ht="15" hidden="false" customHeight="false" outlineLevel="0" collapsed="false">
      <c r="A271" s="13"/>
      <c r="B271" s="18"/>
      <c r="C271" s="13"/>
      <c r="D271" s="20" t="str">
        <f aca="false">IF(A271="","",SUMIFS(Quotes!$E$2:$E$301,Quotes!$B$2:$B$301,A271,Quotes!$C$2:$C$301,C271))</f>
        <v/>
      </c>
      <c r="E271" s="20" t="str">
        <f aca="false">IF(A271="","",IF(D271&lt;500,25,IF(D271&lt;=1500,75,199)))</f>
        <v/>
      </c>
      <c r="F271" s="15" t="str">
        <f aca="false">IF(B271="","",INT((B271-Settings!$B$2)/7)+1)</f>
        <v/>
      </c>
      <c r="G271" s="15" t="str">
        <f aca="false">IF(F271="","",F271&gt;=Settings!$B$5)</f>
        <v/>
      </c>
      <c r="H271" s="13"/>
      <c r="I271" s="13"/>
      <c r="J271" s="15" t="str">
        <f aca="false">IF(A271="","",IFERROR(INDEX(Requests!$E$2:$E$301,MATCH(A271,Requests!$A$2:$A$301,0)),FALSE()))</f>
        <v/>
      </c>
      <c r="K271" s="15" t="str">
        <f aca="false">IF(A271="","",IF(AND(H271="Y",COUNTIFS($C$2:C271,C271,$H$2:H271,"Y")=1),1,0))</f>
        <v/>
      </c>
      <c r="L271" s="8"/>
      <c r="M271" s="8"/>
    </row>
    <row r="272" customFormat="false" ht="15" hidden="false" customHeight="false" outlineLevel="0" collapsed="false">
      <c r="A272" s="13"/>
      <c r="B272" s="18"/>
      <c r="C272" s="13"/>
      <c r="D272" s="20" t="str">
        <f aca="false">IF(A272="","",SUMIFS(Quotes!$E$2:$E$301,Quotes!$B$2:$B$301,A272,Quotes!$C$2:$C$301,C272))</f>
        <v/>
      </c>
      <c r="E272" s="20" t="str">
        <f aca="false">IF(A272="","",IF(D272&lt;500,25,IF(D272&lt;=1500,75,199)))</f>
        <v/>
      </c>
      <c r="F272" s="15" t="str">
        <f aca="false">IF(B272="","",INT((B272-Settings!$B$2)/7)+1)</f>
        <v/>
      </c>
      <c r="G272" s="15" t="str">
        <f aca="false">IF(F272="","",F272&gt;=Settings!$B$5)</f>
        <v/>
      </c>
      <c r="H272" s="13"/>
      <c r="I272" s="13"/>
      <c r="J272" s="15" t="str">
        <f aca="false">IF(A272="","",IFERROR(INDEX(Requests!$E$2:$E$301,MATCH(A272,Requests!$A$2:$A$301,0)),FALSE()))</f>
        <v/>
      </c>
      <c r="K272" s="15" t="str">
        <f aca="false">IF(A272="","",IF(AND(H272="Y",COUNTIFS($C$2:C272,C272,$H$2:H272,"Y")=1),1,0))</f>
        <v/>
      </c>
      <c r="L272" s="8"/>
      <c r="M272" s="8"/>
    </row>
    <row r="273" customFormat="false" ht="15" hidden="false" customHeight="false" outlineLevel="0" collapsed="false">
      <c r="A273" s="13"/>
      <c r="B273" s="18"/>
      <c r="C273" s="13"/>
      <c r="D273" s="20" t="str">
        <f aca="false">IF(A273="","",SUMIFS(Quotes!$E$2:$E$301,Quotes!$B$2:$B$301,A273,Quotes!$C$2:$C$301,C273))</f>
        <v/>
      </c>
      <c r="E273" s="20" t="str">
        <f aca="false">IF(A273="","",IF(D273&lt;500,25,IF(D273&lt;=1500,75,199)))</f>
        <v/>
      </c>
      <c r="F273" s="15" t="str">
        <f aca="false">IF(B273="","",INT((B273-Settings!$B$2)/7)+1)</f>
        <v/>
      </c>
      <c r="G273" s="15" t="str">
        <f aca="false">IF(F273="","",F273&gt;=Settings!$B$5)</f>
        <v/>
      </c>
      <c r="H273" s="13"/>
      <c r="I273" s="13"/>
      <c r="J273" s="15" t="str">
        <f aca="false">IF(A273="","",IFERROR(INDEX(Requests!$E$2:$E$301,MATCH(A273,Requests!$A$2:$A$301,0)),FALSE()))</f>
        <v/>
      </c>
      <c r="K273" s="15" t="str">
        <f aca="false">IF(A273="","",IF(AND(H273="Y",COUNTIFS($C$2:C273,C273,$H$2:H273,"Y")=1),1,0))</f>
        <v/>
      </c>
      <c r="L273" s="8"/>
      <c r="M273" s="8"/>
    </row>
    <row r="274" customFormat="false" ht="15" hidden="false" customHeight="false" outlineLevel="0" collapsed="false">
      <c r="A274" s="13"/>
      <c r="B274" s="18"/>
      <c r="C274" s="13"/>
      <c r="D274" s="20" t="str">
        <f aca="false">IF(A274="","",SUMIFS(Quotes!$E$2:$E$301,Quotes!$B$2:$B$301,A274,Quotes!$C$2:$C$301,C274))</f>
        <v/>
      </c>
      <c r="E274" s="20" t="str">
        <f aca="false">IF(A274="","",IF(D274&lt;500,25,IF(D274&lt;=1500,75,199)))</f>
        <v/>
      </c>
      <c r="F274" s="15" t="str">
        <f aca="false">IF(B274="","",INT((B274-Settings!$B$2)/7)+1)</f>
        <v/>
      </c>
      <c r="G274" s="15" t="str">
        <f aca="false">IF(F274="","",F274&gt;=Settings!$B$5)</f>
        <v/>
      </c>
      <c r="H274" s="13"/>
      <c r="I274" s="13"/>
      <c r="J274" s="15" t="str">
        <f aca="false">IF(A274="","",IFERROR(INDEX(Requests!$E$2:$E$301,MATCH(A274,Requests!$A$2:$A$301,0)),FALSE()))</f>
        <v/>
      </c>
      <c r="K274" s="15" t="str">
        <f aca="false">IF(A274="","",IF(AND(H274="Y",COUNTIFS($C$2:C274,C274,$H$2:H274,"Y")=1),1,0))</f>
        <v/>
      </c>
      <c r="L274" s="8"/>
      <c r="M274" s="8"/>
    </row>
    <row r="275" customFormat="false" ht="15" hidden="false" customHeight="false" outlineLevel="0" collapsed="false">
      <c r="A275" s="13"/>
      <c r="B275" s="18"/>
      <c r="C275" s="13"/>
      <c r="D275" s="20" t="str">
        <f aca="false">IF(A275="","",SUMIFS(Quotes!$E$2:$E$301,Quotes!$B$2:$B$301,A275,Quotes!$C$2:$C$301,C275))</f>
        <v/>
      </c>
      <c r="E275" s="20" t="str">
        <f aca="false">IF(A275="","",IF(D275&lt;500,25,IF(D275&lt;=1500,75,199)))</f>
        <v/>
      </c>
      <c r="F275" s="15" t="str">
        <f aca="false">IF(B275="","",INT((B275-Settings!$B$2)/7)+1)</f>
        <v/>
      </c>
      <c r="G275" s="15" t="str">
        <f aca="false">IF(F275="","",F275&gt;=Settings!$B$5)</f>
        <v/>
      </c>
      <c r="H275" s="13"/>
      <c r="I275" s="13"/>
      <c r="J275" s="15" t="str">
        <f aca="false">IF(A275="","",IFERROR(INDEX(Requests!$E$2:$E$301,MATCH(A275,Requests!$A$2:$A$301,0)),FALSE()))</f>
        <v/>
      </c>
      <c r="K275" s="15" t="str">
        <f aca="false">IF(A275="","",IF(AND(H275="Y",COUNTIFS($C$2:C275,C275,$H$2:H275,"Y")=1),1,0))</f>
        <v/>
      </c>
      <c r="L275" s="8"/>
      <c r="M275" s="8"/>
    </row>
    <row r="276" customFormat="false" ht="15" hidden="false" customHeight="false" outlineLevel="0" collapsed="false">
      <c r="A276" s="13"/>
      <c r="B276" s="18"/>
      <c r="C276" s="13"/>
      <c r="D276" s="20" t="str">
        <f aca="false">IF(A276="","",SUMIFS(Quotes!$E$2:$E$301,Quotes!$B$2:$B$301,A276,Quotes!$C$2:$C$301,C276))</f>
        <v/>
      </c>
      <c r="E276" s="20" t="str">
        <f aca="false">IF(A276="","",IF(D276&lt;500,25,IF(D276&lt;=1500,75,199)))</f>
        <v/>
      </c>
      <c r="F276" s="15" t="str">
        <f aca="false">IF(B276="","",INT((B276-Settings!$B$2)/7)+1)</f>
        <v/>
      </c>
      <c r="G276" s="15" t="str">
        <f aca="false">IF(F276="","",F276&gt;=Settings!$B$5)</f>
        <v/>
      </c>
      <c r="H276" s="13"/>
      <c r="I276" s="13"/>
      <c r="J276" s="15" t="str">
        <f aca="false">IF(A276="","",IFERROR(INDEX(Requests!$E$2:$E$301,MATCH(A276,Requests!$A$2:$A$301,0)),FALSE()))</f>
        <v/>
      </c>
      <c r="K276" s="15" t="str">
        <f aca="false">IF(A276="","",IF(AND(H276="Y",COUNTIFS($C$2:C276,C276,$H$2:H276,"Y")=1),1,0))</f>
        <v/>
      </c>
      <c r="L276" s="8"/>
      <c r="M276" s="8"/>
    </row>
    <row r="277" customFormat="false" ht="15" hidden="false" customHeight="false" outlineLevel="0" collapsed="false">
      <c r="A277" s="13"/>
      <c r="B277" s="18"/>
      <c r="C277" s="13"/>
      <c r="D277" s="20" t="str">
        <f aca="false">IF(A277="","",SUMIFS(Quotes!$E$2:$E$301,Quotes!$B$2:$B$301,A277,Quotes!$C$2:$C$301,C277))</f>
        <v/>
      </c>
      <c r="E277" s="20" t="str">
        <f aca="false">IF(A277="","",IF(D277&lt;500,25,IF(D277&lt;=1500,75,199)))</f>
        <v/>
      </c>
      <c r="F277" s="15" t="str">
        <f aca="false">IF(B277="","",INT((B277-Settings!$B$2)/7)+1)</f>
        <v/>
      </c>
      <c r="G277" s="15" t="str">
        <f aca="false">IF(F277="","",F277&gt;=Settings!$B$5)</f>
        <v/>
      </c>
      <c r="H277" s="13"/>
      <c r="I277" s="13"/>
      <c r="J277" s="15" t="str">
        <f aca="false">IF(A277="","",IFERROR(INDEX(Requests!$E$2:$E$301,MATCH(A277,Requests!$A$2:$A$301,0)),FALSE()))</f>
        <v/>
      </c>
      <c r="K277" s="15" t="str">
        <f aca="false">IF(A277="","",IF(AND(H277="Y",COUNTIFS($C$2:C277,C277,$H$2:H277,"Y")=1),1,0))</f>
        <v/>
      </c>
      <c r="L277" s="8"/>
      <c r="M277" s="8"/>
    </row>
    <row r="278" customFormat="false" ht="15" hidden="false" customHeight="false" outlineLevel="0" collapsed="false">
      <c r="A278" s="13"/>
      <c r="B278" s="18"/>
      <c r="C278" s="13"/>
      <c r="D278" s="20" t="str">
        <f aca="false">IF(A278="","",SUMIFS(Quotes!$E$2:$E$301,Quotes!$B$2:$B$301,A278,Quotes!$C$2:$C$301,C278))</f>
        <v/>
      </c>
      <c r="E278" s="20" t="str">
        <f aca="false">IF(A278="","",IF(D278&lt;500,25,IF(D278&lt;=1500,75,199)))</f>
        <v/>
      </c>
      <c r="F278" s="15" t="str">
        <f aca="false">IF(B278="","",INT((B278-Settings!$B$2)/7)+1)</f>
        <v/>
      </c>
      <c r="G278" s="15" t="str">
        <f aca="false">IF(F278="","",F278&gt;=Settings!$B$5)</f>
        <v/>
      </c>
      <c r="H278" s="13"/>
      <c r="I278" s="13"/>
      <c r="J278" s="15" t="str">
        <f aca="false">IF(A278="","",IFERROR(INDEX(Requests!$E$2:$E$301,MATCH(A278,Requests!$A$2:$A$301,0)),FALSE()))</f>
        <v/>
      </c>
      <c r="K278" s="15" t="str">
        <f aca="false">IF(A278="","",IF(AND(H278="Y",COUNTIFS($C$2:C278,C278,$H$2:H278,"Y")=1),1,0))</f>
        <v/>
      </c>
      <c r="L278" s="8"/>
      <c r="M278" s="8"/>
    </row>
    <row r="279" customFormat="false" ht="15" hidden="false" customHeight="false" outlineLevel="0" collapsed="false">
      <c r="A279" s="13"/>
      <c r="B279" s="18"/>
      <c r="C279" s="13"/>
      <c r="D279" s="20" t="str">
        <f aca="false">IF(A279="","",SUMIFS(Quotes!$E$2:$E$301,Quotes!$B$2:$B$301,A279,Quotes!$C$2:$C$301,C279))</f>
        <v/>
      </c>
      <c r="E279" s="20" t="str">
        <f aca="false">IF(A279="","",IF(D279&lt;500,25,IF(D279&lt;=1500,75,199)))</f>
        <v/>
      </c>
      <c r="F279" s="15" t="str">
        <f aca="false">IF(B279="","",INT((B279-Settings!$B$2)/7)+1)</f>
        <v/>
      </c>
      <c r="G279" s="15" t="str">
        <f aca="false">IF(F279="","",F279&gt;=Settings!$B$5)</f>
        <v/>
      </c>
      <c r="H279" s="13"/>
      <c r="I279" s="13"/>
      <c r="J279" s="15" t="str">
        <f aca="false">IF(A279="","",IFERROR(INDEX(Requests!$E$2:$E$301,MATCH(A279,Requests!$A$2:$A$301,0)),FALSE()))</f>
        <v/>
      </c>
      <c r="K279" s="15" t="str">
        <f aca="false">IF(A279="","",IF(AND(H279="Y",COUNTIFS($C$2:C279,C279,$H$2:H279,"Y")=1),1,0))</f>
        <v/>
      </c>
      <c r="L279" s="8"/>
      <c r="M279" s="8"/>
    </row>
    <row r="280" customFormat="false" ht="15" hidden="false" customHeight="false" outlineLevel="0" collapsed="false">
      <c r="A280" s="13"/>
      <c r="B280" s="18"/>
      <c r="C280" s="13"/>
      <c r="D280" s="20" t="str">
        <f aca="false">IF(A280="","",SUMIFS(Quotes!$E$2:$E$301,Quotes!$B$2:$B$301,A280,Quotes!$C$2:$C$301,C280))</f>
        <v/>
      </c>
      <c r="E280" s="20" t="str">
        <f aca="false">IF(A280="","",IF(D280&lt;500,25,IF(D280&lt;=1500,75,199)))</f>
        <v/>
      </c>
      <c r="F280" s="15" t="str">
        <f aca="false">IF(B280="","",INT((B280-Settings!$B$2)/7)+1)</f>
        <v/>
      </c>
      <c r="G280" s="15" t="str">
        <f aca="false">IF(F280="","",F280&gt;=Settings!$B$5)</f>
        <v/>
      </c>
      <c r="H280" s="13"/>
      <c r="I280" s="13"/>
      <c r="J280" s="15" t="str">
        <f aca="false">IF(A280="","",IFERROR(INDEX(Requests!$E$2:$E$301,MATCH(A280,Requests!$A$2:$A$301,0)),FALSE()))</f>
        <v/>
      </c>
      <c r="K280" s="15" t="str">
        <f aca="false">IF(A280="","",IF(AND(H280="Y",COUNTIFS($C$2:C280,C280,$H$2:H280,"Y")=1),1,0))</f>
        <v/>
      </c>
      <c r="L280" s="8"/>
      <c r="M280" s="8"/>
    </row>
    <row r="281" customFormat="false" ht="15" hidden="false" customHeight="false" outlineLevel="0" collapsed="false">
      <c r="A281" s="13"/>
      <c r="B281" s="18"/>
      <c r="C281" s="13"/>
      <c r="D281" s="20" t="str">
        <f aca="false">IF(A281="","",SUMIFS(Quotes!$E$2:$E$301,Quotes!$B$2:$B$301,A281,Quotes!$C$2:$C$301,C281))</f>
        <v/>
      </c>
      <c r="E281" s="20" t="str">
        <f aca="false">IF(A281="","",IF(D281&lt;500,25,IF(D281&lt;=1500,75,199)))</f>
        <v/>
      </c>
      <c r="F281" s="15" t="str">
        <f aca="false">IF(B281="","",INT((B281-Settings!$B$2)/7)+1)</f>
        <v/>
      </c>
      <c r="G281" s="15" t="str">
        <f aca="false">IF(F281="","",F281&gt;=Settings!$B$5)</f>
        <v/>
      </c>
      <c r="H281" s="13"/>
      <c r="I281" s="13"/>
      <c r="J281" s="15" t="str">
        <f aca="false">IF(A281="","",IFERROR(INDEX(Requests!$E$2:$E$301,MATCH(A281,Requests!$A$2:$A$301,0)),FALSE()))</f>
        <v/>
      </c>
      <c r="K281" s="15" t="str">
        <f aca="false">IF(A281="","",IF(AND(H281="Y",COUNTIFS($C$2:C281,C281,$H$2:H281,"Y")=1),1,0))</f>
        <v/>
      </c>
      <c r="L281" s="8"/>
      <c r="M281" s="8"/>
    </row>
    <row r="282" customFormat="false" ht="15" hidden="false" customHeight="false" outlineLevel="0" collapsed="false">
      <c r="A282" s="13"/>
      <c r="B282" s="18"/>
      <c r="C282" s="13"/>
      <c r="D282" s="20" t="str">
        <f aca="false">IF(A282="","",SUMIFS(Quotes!$E$2:$E$301,Quotes!$B$2:$B$301,A282,Quotes!$C$2:$C$301,C282))</f>
        <v/>
      </c>
      <c r="E282" s="20" t="str">
        <f aca="false">IF(A282="","",IF(D282&lt;500,25,IF(D282&lt;=1500,75,199)))</f>
        <v/>
      </c>
      <c r="F282" s="15" t="str">
        <f aca="false">IF(B282="","",INT((B282-Settings!$B$2)/7)+1)</f>
        <v/>
      </c>
      <c r="G282" s="15" t="str">
        <f aca="false">IF(F282="","",F282&gt;=Settings!$B$5)</f>
        <v/>
      </c>
      <c r="H282" s="13"/>
      <c r="I282" s="13"/>
      <c r="J282" s="15" t="str">
        <f aca="false">IF(A282="","",IFERROR(INDEX(Requests!$E$2:$E$301,MATCH(A282,Requests!$A$2:$A$301,0)),FALSE()))</f>
        <v/>
      </c>
      <c r="K282" s="15" t="str">
        <f aca="false">IF(A282="","",IF(AND(H282="Y",COUNTIFS($C$2:C282,C282,$H$2:H282,"Y")=1),1,0))</f>
        <v/>
      </c>
      <c r="L282" s="8"/>
      <c r="M282" s="8"/>
    </row>
    <row r="283" customFormat="false" ht="15" hidden="false" customHeight="false" outlineLevel="0" collapsed="false">
      <c r="A283" s="13"/>
      <c r="B283" s="18"/>
      <c r="C283" s="13"/>
      <c r="D283" s="20" t="str">
        <f aca="false">IF(A283="","",SUMIFS(Quotes!$E$2:$E$301,Quotes!$B$2:$B$301,A283,Quotes!$C$2:$C$301,C283))</f>
        <v/>
      </c>
      <c r="E283" s="20" t="str">
        <f aca="false">IF(A283="","",IF(D283&lt;500,25,IF(D283&lt;=1500,75,199)))</f>
        <v/>
      </c>
      <c r="F283" s="15" t="str">
        <f aca="false">IF(B283="","",INT((B283-Settings!$B$2)/7)+1)</f>
        <v/>
      </c>
      <c r="G283" s="15" t="str">
        <f aca="false">IF(F283="","",F283&gt;=Settings!$B$5)</f>
        <v/>
      </c>
      <c r="H283" s="13"/>
      <c r="I283" s="13"/>
      <c r="J283" s="15" t="str">
        <f aca="false">IF(A283="","",IFERROR(INDEX(Requests!$E$2:$E$301,MATCH(A283,Requests!$A$2:$A$301,0)),FALSE()))</f>
        <v/>
      </c>
      <c r="K283" s="15" t="str">
        <f aca="false">IF(A283="","",IF(AND(H283="Y",COUNTIFS($C$2:C283,C283,$H$2:H283,"Y")=1),1,0))</f>
        <v/>
      </c>
      <c r="L283" s="8"/>
      <c r="M283" s="8"/>
    </row>
    <row r="284" customFormat="false" ht="15" hidden="false" customHeight="false" outlineLevel="0" collapsed="false">
      <c r="A284" s="13"/>
      <c r="B284" s="18"/>
      <c r="C284" s="13"/>
      <c r="D284" s="20" t="str">
        <f aca="false">IF(A284="","",SUMIFS(Quotes!$E$2:$E$301,Quotes!$B$2:$B$301,A284,Quotes!$C$2:$C$301,C284))</f>
        <v/>
      </c>
      <c r="E284" s="20" t="str">
        <f aca="false">IF(A284="","",IF(D284&lt;500,25,IF(D284&lt;=1500,75,199)))</f>
        <v/>
      </c>
      <c r="F284" s="15" t="str">
        <f aca="false">IF(B284="","",INT((B284-Settings!$B$2)/7)+1)</f>
        <v/>
      </c>
      <c r="G284" s="15" t="str">
        <f aca="false">IF(F284="","",F284&gt;=Settings!$B$5)</f>
        <v/>
      </c>
      <c r="H284" s="13"/>
      <c r="I284" s="13"/>
      <c r="J284" s="15" t="str">
        <f aca="false">IF(A284="","",IFERROR(INDEX(Requests!$E$2:$E$301,MATCH(A284,Requests!$A$2:$A$301,0)),FALSE()))</f>
        <v/>
      </c>
      <c r="K284" s="15" t="str">
        <f aca="false">IF(A284="","",IF(AND(H284="Y",COUNTIFS($C$2:C284,C284,$H$2:H284,"Y")=1),1,0))</f>
        <v/>
      </c>
      <c r="L284" s="8"/>
      <c r="M284" s="8"/>
    </row>
    <row r="285" customFormat="false" ht="15" hidden="false" customHeight="false" outlineLevel="0" collapsed="false">
      <c r="A285" s="13"/>
      <c r="B285" s="18"/>
      <c r="C285" s="13"/>
      <c r="D285" s="20" t="str">
        <f aca="false">IF(A285="","",SUMIFS(Quotes!$E$2:$E$301,Quotes!$B$2:$B$301,A285,Quotes!$C$2:$C$301,C285))</f>
        <v/>
      </c>
      <c r="E285" s="20" t="str">
        <f aca="false">IF(A285="","",IF(D285&lt;500,25,IF(D285&lt;=1500,75,199)))</f>
        <v/>
      </c>
      <c r="F285" s="15" t="str">
        <f aca="false">IF(B285="","",INT((B285-Settings!$B$2)/7)+1)</f>
        <v/>
      </c>
      <c r="G285" s="15" t="str">
        <f aca="false">IF(F285="","",F285&gt;=Settings!$B$5)</f>
        <v/>
      </c>
      <c r="H285" s="13"/>
      <c r="I285" s="13"/>
      <c r="J285" s="15" t="str">
        <f aca="false">IF(A285="","",IFERROR(INDEX(Requests!$E$2:$E$301,MATCH(A285,Requests!$A$2:$A$301,0)),FALSE()))</f>
        <v/>
      </c>
      <c r="K285" s="15" t="str">
        <f aca="false">IF(A285="","",IF(AND(H285="Y",COUNTIFS($C$2:C285,C285,$H$2:H285,"Y")=1),1,0))</f>
        <v/>
      </c>
      <c r="L285" s="8"/>
      <c r="M285" s="8"/>
    </row>
    <row r="286" customFormat="false" ht="15" hidden="false" customHeight="false" outlineLevel="0" collapsed="false">
      <c r="A286" s="13"/>
      <c r="B286" s="18"/>
      <c r="C286" s="13"/>
      <c r="D286" s="20" t="str">
        <f aca="false">IF(A286="","",SUMIFS(Quotes!$E$2:$E$301,Quotes!$B$2:$B$301,A286,Quotes!$C$2:$C$301,C286))</f>
        <v/>
      </c>
      <c r="E286" s="20" t="str">
        <f aca="false">IF(A286="","",IF(D286&lt;500,25,IF(D286&lt;=1500,75,199)))</f>
        <v/>
      </c>
      <c r="F286" s="15" t="str">
        <f aca="false">IF(B286="","",INT((B286-Settings!$B$2)/7)+1)</f>
        <v/>
      </c>
      <c r="G286" s="15" t="str">
        <f aca="false">IF(F286="","",F286&gt;=Settings!$B$5)</f>
        <v/>
      </c>
      <c r="H286" s="13"/>
      <c r="I286" s="13"/>
      <c r="J286" s="15" t="str">
        <f aca="false">IF(A286="","",IFERROR(INDEX(Requests!$E$2:$E$301,MATCH(A286,Requests!$A$2:$A$301,0)),FALSE()))</f>
        <v/>
      </c>
      <c r="K286" s="15" t="str">
        <f aca="false">IF(A286="","",IF(AND(H286="Y",COUNTIFS($C$2:C286,C286,$H$2:H286,"Y")=1),1,0))</f>
        <v/>
      </c>
      <c r="L286" s="8"/>
      <c r="M286" s="8"/>
    </row>
    <row r="287" customFormat="false" ht="15" hidden="false" customHeight="false" outlineLevel="0" collapsed="false">
      <c r="A287" s="13"/>
      <c r="B287" s="18"/>
      <c r="C287" s="13"/>
      <c r="D287" s="20" t="str">
        <f aca="false">IF(A287="","",SUMIFS(Quotes!$E$2:$E$301,Quotes!$B$2:$B$301,A287,Quotes!$C$2:$C$301,C287))</f>
        <v/>
      </c>
      <c r="E287" s="20" t="str">
        <f aca="false">IF(A287="","",IF(D287&lt;500,25,IF(D287&lt;=1500,75,199)))</f>
        <v/>
      </c>
      <c r="F287" s="15" t="str">
        <f aca="false">IF(B287="","",INT((B287-Settings!$B$2)/7)+1)</f>
        <v/>
      </c>
      <c r="G287" s="15" t="str">
        <f aca="false">IF(F287="","",F287&gt;=Settings!$B$5)</f>
        <v/>
      </c>
      <c r="H287" s="13"/>
      <c r="I287" s="13"/>
      <c r="J287" s="15" t="str">
        <f aca="false">IF(A287="","",IFERROR(INDEX(Requests!$E$2:$E$301,MATCH(A287,Requests!$A$2:$A$301,0)),FALSE()))</f>
        <v/>
      </c>
      <c r="K287" s="15" t="str">
        <f aca="false">IF(A287="","",IF(AND(H287="Y",COUNTIFS($C$2:C287,C287,$H$2:H287,"Y")=1),1,0))</f>
        <v/>
      </c>
      <c r="L287" s="8"/>
      <c r="M287" s="8"/>
    </row>
    <row r="288" customFormat="false" ht="15" hidden="false" customHeight="false" outlineLevel="0" collapsed="false">
      <c r="A288" s="13"/>
      <c r="B288" s="18"/>
      <c r="C288" s="13"/>
      <c r="D288" s="20" t="str">
        <f aca="false">IF(A288="","",SUMIFS(Quotes!$E$2:$E$301,Quotes!$B$2:$B$301,A288,Quotes!$C$2:$C$301,C288))</f>
        <v/>
      </c>
      <c r="E288" s="20" t="str">
        <f aca="false">IF(A288="","",IF(D288&lt;500,25,IF(D288&lt;=1500,75,199)))</f>
        <v/>
      </c>
      <c r="F288" s="15" t="str">
        <f aca="false">IF(B288="","",INT((B288-Settings!$B$2)/7)+1)</f>
        <v/>
      </c>
      <c r="G288" s="15" t="str">
        <f aca="false">IF(F288="","",F288&gt;=Settings!$B$5)</f>
        <v/>
      </c>
      <c r="H288" s="13"/>
      <c r="I288" s="13"/>
      <c r="J288" s="15" t="str">
        <f aca="false">IF(A288="","",IFERROR(INDEX(Requests!$E$2:$E$301,MATCH(A288,Requests!$A$2:$A$301,0)),FALSE()))</f>
        <v/>
      </c>
      <c r="K288" s="15" t="str">
        <f aca="false">IF(A288="","",IF(AND(H288="Y",COUNTIFS($C$2:C288,C288,$H$2:H288,"Y")=1),1,0))</f>
        <v/>
      </c>
      <c r="L288" s="8"/>
      <c r="M288" s="8"/>
    </row>
    <row r="289" customFormat="false" ht="15" hidden="false" customHeight="false" outlineLevel="0" collapsed="false">
      <c r="A289" s="13"/>
      <c r="B289" s="18"/>
      <c r="C289" s="13"/>
      <c r="D289" s="20" t="str">
        <f aca="false">IF(A289="","",SUMIFS(Quotes!$E$2:$E$301,Quotes!$B$2:$B$301,A289,Quotes!$C$2:$C$301,C289))</f>
        <v/>
      </c>
      <c r="E289" s="20" t="str">
        <f aca="false">IF(A289="","",IF(D289&lt;500,25,IF(D289&lt;=1500,75,199)))</f>
        <v/>
      </c>
      <c r="F289" s="15" t="str">
        <f aca="false">IF(B289="","",INT((B289-Settings!$B$2)/7)+1)</f>
        <v/>
      </c>
      <c r="G289" s="15" t="str">
        <f aca="false">IF(F289="","",F289&gt;=Settings!$B$5)</f>
        <v/>
      </c>
      <c r="H289" s="13"/>
      <c r="I289" s="13"/>
      <c r="J289" s="15" t="str">
        <f aca="false">IF(A289="","",IFERROR(INDEX(Requests!$E$2:$E$301,MATCH(A289,Requests!$A$2:$A$301,0)),FALSE()))</f>
        <v/>
      </c>
      <c r="K289" s="15" t="str">
        <f aca="false">IF(A289="","",IF(AND(H289="Y",COUNTIFS($C$2:C289,C289,$H$2:H289,"Y")=1),1,0))</f>
        <v/>
      </c>
      <c r="L289" s="8"/>
      <c r="M289" s="8"/>
    </row>
    <row r="290" customFormat="false" ht="15" hidden="false" customHeight="false" outlineLevel="0" collapsed="false">
      <c r="A290" s="13"/>
      <c r="B290" s="18"/>
      <c r="C290" s="13"/>
      <c r="D290" s="20" t="str">
        <f aca="false">IF(A290="","",SUMIFS(Quotes!$E$2:$E$301,Quotes!$B$2:$B$301,A290,Quotes!$C$2:$C$301,C290))</f>
        <v/>
      </c>
      <c r="E290" s="20" t="str">
        <f aca="false">IF(A290="","",IF(D290&lt;500,25,IF(D290&lt;=1500,75,199)))</f>
        <v/>
      </c>
      <c r="F290" s="15" t="str">
        <f aca="false">IF(B290="","",INT((B290-Settings!$B$2)/7)+1)</f>
        <v/>
      </c>
      <c r="G290" s="15" t="str">
        <f aca="false">IF(F290="","",F290&gt;=Settings!$B$5)</f>
        <v/>
      </c>
      <c r="H290" s="13"/>
      <c r="I290" s="13"/>
      <c r="J290" s="15" t="str">
        <f aca="false">IF(A290="","",IFERROR(INDEX(Requests!$E$2:$E$301,MATCH(A290,Requests!$A$2:$A$301,0)),FALSE()))</f>
        <v/>
      </c>
      <c r="K290" s="15" t="str">
        <f aca="false">IF(A290="","",IF(AND(H290="Y",COUNTIFS($C$2:C290,C290,$H$2:H290,"Y")=1),1,0))</f>
        <v/>
      </c>
      <c r="L290" s="8"/>
      <c r="M290" s="8"/>
    </row>
    <row r="291" customFormat="false" ht="15" hidden="false" customHeight="false" outlineLevel="0" collapsed="false">
      <c r="A291" s="13"/>
      <c r="B291" s="18"/>
      <c r="C291" s="13"/>
      <c r="D291" s="20" t="str">
        <f aca="false">IF(A291="","",SUMIFS(Quotes!$E$2:$E$301,Quotes!$B$2:$B$301,A291,Quotes!$C$2:$C$301,C291))</f>
        <v/>
      </c>
      <c r="E291" s="20" t="str">
        <f aca="false">IF(A291="","",IF(D291&lt;500,25,IF(D291&lt;=1500,75,199)))</f>
        <v/>
      </c>
      <c r="F291" s="15" t="str">
        <f aca="false">IF(B291="","",INT((B291-Settings!$B$2)/7)+1)</f>
        <v/>
      </c>
      <c r="G291" s="15" t="str">
        <f aca="false">IF(F291="","",F291&gt;=Settings!$B$5)</f>
        <v/>
      </c>
      <c r="H291" s="13"/>
      <c r="I291" s="13"/>
      <c r="J291" s="15" t="str">
        <f aca="false">IF(A291="","",IFERROR(INDEX(Requests!$E$2:$E$301,MATCH(A291,Requests!$A$2:$A$301,0)),FALSE()))</f>
        <v/>
      </c>
      <c r="K291" s="15" t="str">
        <f aca="false">IF(A291="","",IF(AND(H291="Y",COUNTIFS($C$2:C291,C291,$H$2:H291,"Y")=1),1,0))</f>
        <v/>
      </c>
      <c r="L291" s="8"/>
      <c r="M291" s="8"/>
    </row>
    <row r="292" customFormat="false" ht="15" hidden="false" customHeight="false" outlineLevel="0" collapsed="false">
      <c r="A292" s="13"/>
      <c r="B292" s="18"/>
      <c r="C292" s="13"/>
      <c r="D292" s="20" t="str">
        <f aca="false">IF(A292="","",SUMIFS(Quotes!$E$2:$E$301,Quotes!$B$2:$B$301,A292,Quotes!$C$2:$C$301,C292))</f>
        <v/>
      </c>
      <c r="E292" s="20" t="str">
        <f aca="false">IF(A292="","",IF(D292&lt;500,25,IF(D292&lt;=1500,75,199)))</f>
        <v/>
      </c>
      <c r="F292" s="15" t="str">
        <f aca="false">IF(B292="","",INT((B292-Settings!$B$2)/7)+1)</f>
        <v/>
      </c>
      <c r="G292" s="15" t="str">
        <f aca="false">IF(F292="","",F292&gt;=Settings!$B$5)</f>
        <v/>
      </c>
      <c r="H292" s="13"/>
      <c r="I292" s="13"/>
      <c r="J292" s="15" t="str">
        <f aca="false">IF(A292="","",IFERROR(INDEX(Requests!$E$2:$E$301,MATCH(A292,Requests!$A$2:$A$301,0)),FALSE()))</f>
        <v/>
      </c>
      <c r="K292" s="15" t="str">
        <f aca="false">IF(A292="","",IF(AND(H292="Y",COUNTIFS($C$2:C292,C292,$H$2:H292,"Y")=1),1,0))</f>
        <v/>
      </c>
      <c r="L292" s="8"/>
      <c r="M292" s="8"/>
    </row>
    <row r="293" customFormat="false" ht="15" hidden="false" customHeight="false" outlineLevel="0" collapsed="false">
      <c r="A293" s="13"/>
      <c r="B293" s="18"/>
      <c r="C293" s="13"/>
      <c r="D293" s="20" t="str">
        <f aca="false">IF(A293="","",SUMIFS(Quotes!$E$2:$E$301,Quotes!$B$2:$B$301,A293,Quotes!$C$2:$C$301,C293))</f>
        <v/>
      </c>
      <c r="E293" s="20" t="str">
        <f aca="false">IF(A293="","",IF(D293&lt;500,25,IF(D293&lt;=1500,75,199)))</f>
        <v/>
      </c>
      <c r="F293" s="15" t="str">
        <f aca="false">IF(B293="","",INT((B293-Settings!$B$2)/7)+1)</f>
        <v/>
      </c>
      <c r="G293" s="15" t="str">
        <f aca="false">IF(F293="","",F293&gt;=Settings!$B$5)</f>
        <v/>
      </c>
      <c r="H293" s="13"/>
      <c r="I293" s="13"/>
      <c r="J293" s="15" t="str">
        <f aca="false">IF(A293="","",IFERROR(INDEX(Requests!$E$2:$E$301,MATCH(A293,Requests!$A$2:$A$301,0)),FALSE()))</f>
        <v/>
      </c>
      <c r="K293" s="15" t="str">
        <f aca="false">IF(A293="","",IF(AND(H293="Y",COUNTIFS($C$2:C293,C293,$H$2:H293,"Y")=1),1,0))</f>
        <v/>
      </c>
      <c r="L293" s="8"/>
      <c r="M293" s="8"/>
    </row>
    <row r="294" customFormat="false" ht="15" hidden="false" customHeight="false" outlineLevel="0" collapsed="false">
      <c r="A294" s="13"/>
      <c r="B294" s="18"/>
      <c r="C294" s="13"/>
      <c r="D294" s="20" t="str">
        <f aca="false">IF(A294="","",SUMIFS(Quotes!$E$2:$E$301,Quotes!$B$2:$B$301,A294,Quotes!$C$2:$C$301,C294))</f>
        <v/>
      </c>
      <c r="E294" s="20" t="str">
        <f aca="false">IF(A294="","",IF(D294&lt;500,25,IF(D294&lt;=1500,75,199)))</f>
        <v/>
      </c>
      <c r="F294" s="15" t="str">
        <f aca="false">IF(B294="","",INT((B294-Settings!$B$2)/7)+1)</f>
        <v/>
      </c>
      <c r="G294" s="15" t="str">
        <f aca="false">IF(F294="","",F294&gt;=Settings!$B$5)</f>
        <v/>
      </c>
      <c r="H294" s="13"/>
      <c r="I294" s="13"/>
      <c r="J294" s="15" t="str">
        <f aca="false">IF(A294="","",IFERROR(INDEX(Requests!$E$2:$E$301,MATCH(A294,Requests!$A$2:$A$301,0)),FALSE()))</f>
        <v/>
      </c>
      <c r="K294" s="15" t="str">
        <f aca="false">IF(A294="","",IF(AND(H294="Y",COUNTIFS($C$2:C294,C294,$H$2:H294,"Y")=1),1,0))</f>
        <v/>
      </c>
      <c r="L294" s="8"/>
      <c r="M294" s="8"/>
    </row>
    <row r="295" customFormat="false" ht="15" hidden="false" customHeight="false" outlineLevel="0" collapsed="false">
      <c r="A295" s="13"/>
      <c r="B295" s="18"/>
      <c r="C295" s="13"/>
      <c r="D295" s="20" t="str">
        <f aca="false">IF(A295="","",SUMIFS(Quotes!$E$2:$E$301,Quotes!$B$2:$B$301,A295,Quotes!$C$2:$C$301,C295))</f>
        <v/>
      </c>
      <c r="E295" s="20" t="str">
        <f aca="false">IF(A295="","",IF(D295&lt;500,25,IF(D295&lt;=1500,75,199)))</f>
        <v/>
      </c>
      <c r="F295" s="15" t="str">
        <f aca="false">IF(B295="","",INT((B295-Settings!$B$2)/7)+1)</f>
        <v/>
      </c>
      <c r="G295" s="15" t="str">
        <f aca="false">IF(F295="","",F295&gt;=Settings!$B$5)</f>
        <v/>
      </c>
      <c r="H295" s="13"/>
      <c r="I295" s="13"/>
      <c r="J295" s="15" t="str">
        <f aca="false">IF(A295="","",IFERROR(INDEX(Requests!$E$2:$E$301,MATCH(A295,Requests!$A$2:$A$301,0)),FALSE()))</f>
        <v/>
      </c>
      <c r="K295" s="15" t="str">
        <f aca="false">IF(A295="","",IF(AND(H295="Y",COUNTIFS($C$2:C295,C295,$H$2:H295,"Y")=1),1,0))</f>
        <v/>
      </c>
      <c r="L295" s="8"/>
      <c r="M295" s="8"/>
    </row>
    <row r="296" customFormat="false" ht="15" hidden="false" customHeight="false" outlineLevel="0" collapsed="false">
      <c r="A296" s="13"/>
      <c r="B296" s="18"/>
      <c r="C296" s="13"/>
      <c r="D296" s="20" t="str">
        <f aca="false">IF(A296="","",SUMIFS(Quotes!$E$2:$E$301,Quotes!$B$2:$B$301,A296,Quotes!$C$2:$C$301,C296))</f>
        <v/>
      </c>
      <c r="E296" s="20" t="str">
        <f aca="false">IF(A296="","",IF(D296&lt;500,25,IF(D296&lt;=1500,75,199)))</f>
        <v/>
      </c>
      <c r="F296" s="15" t="str">
        <f aca="false">IF(B296="","",INT((B296-Settings!$B$2)/7)+1)</f>
        <v/>
      </c>
      <c r="G296" s="15" t="str">
        <f aca="false">IF(F296="","",F296&gt;=Settings!$B$5)</f>
        <v/>
      </c>
      <c r="H296" s="13"/>
      <c r="I296" s="13"/>
      <c r="J296" s="15" t="str">
        <f aca="false">IF(A296="","",IFERROR(INDEX(Requests!$E$2:$E$301,MATCH(A296,Requests!$A$2:$A$301,0)),FALSE()))</f>
        <v/>
      </c>
      <c r="K296" s="15" t="str">
        <f aca="false">IF(A296="","",IF(AND(H296="Y",COUNTIFS($C$2:C296,C296,$H$2:H296,"Y")=1),1,0))</f>
        <v/>
      </c>
      <c r="L296" s="8"/>
      <c r="M296" s="8"/>
    </row>
    <row r="297" customFormat="false" ht="15" hidden="false" customHeight="false" outlineLevel="0" collapsed="false">
      <c r="A297" s="13"/>
      <c r="B297" s="18"/>
      <c r="C297" s="13"/>
      <c r="D297" s="20" t="str">
        <f aca="false">IF(A297="","",SUMIFS(Quotes!$E$2:$E$301,Quotes!$B$2:$B$301,A297,Quotes!$C$2:$C$301,C297))</f>
        <v/>
      </c>
      <c r="E297" s="20" t="str">
        <f aca="false">IF(A297="","",IF(D297&lt;500,25,IF(D297&lt;=1500,75,199)))</f>
        <v/>
      </c>
      <c r="F297" s="15" t="str">
        <f aca="false">IF(B297="","",INT((B297-Settings!$B$2)/7)+1)</f>
        <v/>
      </c>
      <c r="G297" s="15" t="str">
        <f aca="false">IF(F297="","",F297&gt;=Settings!$B$5)</f>
        <v/>
      </c>
      <c r="H297" s="13"/>
      <c r="I297" s="13"/>
      <c r="J297" s="15" t="str">
        <f aca="false">IF(A297="","",IFERROR(INDEX(Requests!$E$2:$E$301,MATCH(A297,Requests!$A$2:$A$301,0)),FALSE()))</f>
        <v/>
      </c>
      <c r="K297" s="15" t="str">
        <f aca="false">IF(A297="","",IF(AND(H297="Y",COUNTIFS($C$2:C297,C297,$H$2:H297,"Y")=1),1,0))</f>
        <v/>
      </c>
      <c r="L297" s="8"/>
      <c r="M297" s="8"/>
    </row>
    <row r="298" customFormat="false" ht="15" hidden="false" customHeight="false" outlineLevel="0" collapsed="false">
      <c r="A298" s="13"/>
      <c r="B298" s="18"/>
      <c r="C298" s="13"/>
      <c r="D298" s="20" t="str">
        <f aca="false">IF(A298="","",SUMIFS(Quotes!$E$2:$E$301,Quotes!$B$2:$B$301,A298,Quotes!$C$2:$C$301,C298))</f>
        <v/>
      </c>
      <c r="E298" s="20" t="str">
        <f aca="false">IF(A298="","",IF(D298&lt;500,25,IF(D298&lt;=1500,75,199)))</f>
        <v/>
      </c>
      <c r="F298" s="15" t="str">
        <f aca="false">IF(B298="","",INT((B298-Settings!$B$2)/7)+1)</f>
        <v/>
      </c>
      <c r="G298" s="15" t="str">
        <f aca="false">IF(F298="","",F298&gt;=Settings!$B$5)</f>
        <v/>
      </c>
      <c r="H298" s="13"/>
      <c r="I298" s="13"/>
      <c r="J298" s="15" t="str">
        <f aca="false">IF(A298="","",IFERROR(INDEX(Requests!$E$2:$E$301,MATCH(A298,Requests!$A$2:$A$301,0)),FALSE()))</f>
        <v/>
      </c>
      <c r="K298" s="15" t="str">
        <f aca="false">IF(A298="","",IF(AND(H298="Y",COUNTIFS($C$2:C298,C298,$H$2:H298,"Y")=1),1,0))</f>
        <v/>
      </c>
      <c r="L298" s="8"/>
      <c r="M298" s="8"/>
    </row>
    <row r="299" customFormat="false" ht="15" hidden="false" customHeight="false" outlineLevel="0" collapsed="false">
      <c r="A299" s="13"/>
      <c r="B299" s="18"/>
      <c r="C299" s="13"/>
      <c r="D299" s="20" t="str">
        <f aca="false">IF(A299="","",SUMIFS(Quotes!$E$2:$E$301,Quotes!$B$2:$B$301,A299,Quotes!$C$2:$C$301,C299))</f>
        <v/>
      </c>
      <c r="E299" s="20" t="str">
        <f aca="false">IF(A299="","",IF(D299&lt;500,25,IF(D299&lt;=1500,75,199)))</f>
        <v/>
      </c>
      <c r="F299" s="15" t="str">
        <f aca="false">IF(B299="","",INT((B299-Settings!$B$2)/7)+1)</f>
        <v/>
      </c>
      <c r="G299" s="15" t="str">
        <f aca="false">IF(F299="","",F299&gt;=Settings!$B$5)</f>
        <v/>
      </c>
      <c r="H299" s="13"/>
      <c r="I299" s="13"/>
      <c r="J299" s="15" t="str">
        <f aca="false">IF(A299="","",IFERROR(INDEX(Requests!$E$2:$E$301,MATCH(A299,Requests!$A$2:$A$301,0)),FALSE()))</f>
        <v/>
      </c>
      <c r="K299" s="15" t="str">
        <f aca="false">IF(A299="","",IF(AND(H299="Y",COUNTIFS($C$2:C299,C299,$H$2:H299,"Y")=1),1,0))</f>
        <v/>
      </c>
      <c r="L299" s="8"/>
      <c r="M299" s="8"/>
    </row>
    <row r="300" customFormat="false" ht="15" hidden="false" customHeight="false" outlineLevel="0" collapsed="false">
      <c r="A300" s="13"/>
      <c r="B300" s="18"/>
      <c r="C300" s="13"/>
      <c r="D300" s="20" t="str">
        <f aca="false">IF(A300="","",SUMIFS(Quotes!$E$2:$E$301,Quotes!$B$2:$B$301,A300,Quotes!$C$2:$C$301,C300))</f>
        <v/>
      </c>
      <c r="E300" s="20" t="str">
        <f aca="false">IF(A300="","",IF(D300&lt;500,25,IF(D300&lt;=1500,75,199)))</f>
        <v/>
      </c>
      <c r="F300" s="15" t="str">
        <f aca="false">IF(B300="","",INT((B300-Settings!$B$2)/7)+1)</f>
        <v/>
      </c>
      <c r="G300" s="15" t="str">
        <f aca="false">IF(F300="","",F300&gt;=Settings!$B$5)</f>
        <v/>
      </c>
      <c r="H300" s="13"/>
      <c r="I300" s="13"/>
      <c r="J300" s="15" t="str">
        <f aca="false">IF(A300="","",IFERROR(INDEX(Requests!$E$2:$E$301,MATCH(A300,Requests!$A$2:$A$301,0)),FALSE()))</f>
        <v/>
      </c>
      <c r="K300" s="15" t="str">
        <f aca="false">IF(A300="","",IF(AND(H300="Y",COUNTIFS($C$2:C300,C300,$H$2:H300,"Y")=1),1,0))</f>
        <v/>
      </c>
      <c r="L300" s="8"/>
      <c r="M300" s="8"/>
    </row>
    <row r="301" customFormat="false" ht="15" hidden="false" customHeight="false" outlineLevel="0" collapsed="false">
      <c r="A301" s="13"/>
      <c r="B301" s="18"/>
      <c r="C301" s="13"/>
      <c r="D301" s="20" t="str">
        <f aca="false">IF(A301="","",SUMIFS(Quotes!$E$2:$E$301,Quotes!$B$2:$B$301,A301,Quotes!$C$2:$C$301,C301))</f>
        <v/>
      </c>
      <c r="E301" s="20" t="str">
        <f aca="false">IF(A301="","",IF(D301&lt;500,25,IF(D301&lt;=1500,75,199)))</f>
        <v/>
      </c>
      <c r="F301" s="15" t="str">
        <f aca="false">IF(B301="","",INT((B301-Settings!$B$2)/7)+1)</f>
        <v/>
      </c>
      <c r="G301" s="15" t="str">
        <f aca="false">IF(F301="","",F301&gt;=Settings!$B$5)</f>
        <v/>
      </c>
      <c r="H301" s="13"/>
      <c r="I301" s="13"/>
      <c r="J301" s="15" t="str">
        <f aca="false">IF(A301="","",IFERROR(INDEX(Requests!$E$2:$E$301,MATCH(A301,Requests!$A$2:$A$301,0)),FALSE()))</f>
        <v/>
      </c>
      <c r="K301" s="15" t="str">
        <f aca="false">IF(A301="","",IF(AND(H301="Y",COUNTIFS($C$2:C301,C301,$H$2:H301,"Y")=1),1,0))</f>
        <v/>
      </c>
      <c r="L301" s="8"/>
      <c r="M30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4"/>
    <col collapsed="false" customWidth="true" hidden="false" outlineLevel="0" max="4" min="4" style="0" width="50"/>
  </cols>
  <sheetData>
    <row r="1" customFormat="false" ht="31.5" hidden="false" customHeight="true" outlineLevel="0" collapsed="false">
      <c r="A1" s="10" t="s">
        <v>340</v>
      </c>
      <c r="B1" s="10" t="s">
        <v>126</v>
      </c>
      <c r="C1" s="10" t="s">
        <v>341</v>
      </c>
      <c r="D1" s="10" t="s">
        <v>342</v>
      </c>
      <c r="E1" s="8"/>
      <c r="F1" s="8" t="s">
        <v>69</v>
      </c>
    </row>
    <row r="2" customFormat="false" ht="15" hidden="false" customHeight="false" outlineLevel="0" collapsed="false">
      <c r="A2" s="14" t="n">
        <v>46330</v>
      </c>
      <c r="B2" s="15" t="n">
        <f aca="false">IF(A2="","",INT((A2-Settings!$B$2)/7)+1)</f>
        <v>1</v>
      </c>
      <c r="C2" s="13" t="s">
        <v>147</v>
      </c>
      <c r="D2" s="13" t="s">
        <v>343</v>
      </c>
      <c r="E2" s="8"/>
      <c r="F2" s="8"/>
    </row>
    <row r="3" customFormat="false" ht="15" hidden="false" customHeight="false" outlineLevel="0" collapsed="false">
      <c r="A3" s="14" t="n">
        <v>46331</v>
      </c>
      <c r="B3" s="15" t="n">
        <f aca="false">IF(A3="","",INT((A3-Settings!$B$2)/7)+1)</f>
        <v>1</v>
      </c>
      <c r="C3" s="13" t="s">
        <v>152</v>
      </c>
      <c r="D3" s="13" t="s">
        <v>343</v>
      </c>
      <c r="E3" s="8"/>
      <c r="F3" s="8"/>
    </row>
    <row r="4" customFormat="false" ht="15" hidden="false" customHeight="false" outlineLevel="0" collapsed="false">
      <c r="A4" s="14" t="n">
        <v>46336</v>
      </c>
      <c r="B4" s="15" t="n">
        <f aca="false">IF(A4="","",INT((A4-Settings!$B$2)/7)+1)</f>
        <v>2</v>
      </c>
      <c r="C4" s="13" t="s">
        <v>170</v>
      </c>
      <c r="D4" s="13" t="s">
        <v>343</v>
      </c>
      <c r="E4" s="8"/>
      <c r="F4" s="8"/>
    </row>
    <row r="5" customFormat="false" ht="15" hidden="false" customHeight="false" outlineLevel="0" collapsed="false">
      <c r="A5" s="14" t="n">
        <v>46339</v>
      </c>
      <c r="B5" s="15" t="n">
        <f aca="false">IF(A5="","",INT((A5-Settings!$B$2)/7)+1)</f>
        <v>2</v>
      </c>
      <c r="C5" s="13" t="s">
        <v>184</v>
      </c>
      <c r="D5" s="13" t="s">
        <v>343</v>
      </c>
      <c r="E5" s="8"/>
      <c r="F5" s="8"/>
    </row>
    <row r="6" customFormat="false" ht="15" hidden="false" customHeight="false" outlineLevel="0" collapsed="false">
      <c r="A6" s="14" t="n">
        <v>46346</v>
      </c>
      <c r="B6" s="15" t="n">
        <f aca="false">IF(A6="","",INT((A6-Settings!$B$2)/7)+1)</f>
        <v>3</v>
      </c>
      <c r="C6" s="13" t="s">
        <v>204</v>
      </c>
      <c r="D6" s="13" t="s">
        <v>343</v>
      </c>
      <c r="E6" s="8"/>
      <c r="F6" s="8"/>
    </row>
    <row r="7" customFormat="false" ht="15" hidden="false" customHeight="false" outlineLevel="0" collapsed="false">
      <c r="A7" s="14" t="n">
        <v>46348</v>
      </c>
      <c r="B7" s="15" t="n">
        <f aca="false">IF(A7="","",INT((A7-Settings!$B$2)/7)+1)</f>
        <v>3</v>
      </c>
      <c r="C7" s="13" t="s">
        <v>213</v>
      </c>
      <c r="D7" s="13" t="s">
        <v>343</v>
      </c>
      <c r="E7" s="8"/>
      <c r="F7" s="8"/>
    </row>
    <row r="8" customFormat="false" ht="15" hidden="false" customHeight="false" outlineLevel="0" collapsed="false">
      <c r="A8" s="14"/>
      <c r="B8" s="15" t="str">
        <f aca="false">IF(A8="","",INT((A8-Settings!$B$2)/7)+1)</f>
        <v/>
      </c>
      <c r="C8" s="13"/>
      <c r="D8" s="13"/>
      <c r="E8" s="8"/>
      <c r="F8" s="8"/>
    </row>
    <row r="9" customFormat="false" ht="15" hidden="false" customHeight="false" outlineLevel="0" collapsed="false">
      <c r="A9" s="14"/>
      <c r="B9" s="15" t="str">
        <f aca="false">IF(A9="","",INT((A9-Settings!$B$2)/7)+1)</f>
        <v/>
      </c>
      <c r="C9" s="13"/>
      <c r="D9" s="13"/>
      <c r="E9" s="8"/>
      <c r="F9" s="8"/>
    </row>
    <row r="10" customFormat="false" ht="15" hidden="false" customHeight="false" outlineLevel="0" collapsed="false">
      <c r="A10" s="14"/>
      <c r="B10" s="15" t="str">
        <f aca="false">IF(A10="","",INT((A10-Settings!$B$2)/7)+1)</f>
        <v/>
      </c>
      <c r="C10" s="13"/>
      <c r="D10" s="13"/>
      <c r="E10" s="8"/>
      <c r="F10" s="8"/>
    </row>
    <row r="11" customFormat="false" ht="15" hidden="false" customHeight="false" outlineLevel="0" collapsed="false">
      <c r="A11" s="14"/>
      <c r="B11" s="15" t="str">
        <f aca="false">IF(A11="","",INT((A11-Settings!$B$2)/7)+1)</f>
        <v/>
      </c>
      <c r="C11" s="13"/>
      <c r="D11" s="13"/>
      <c r="E11" s="8"/>
      <c r="F11" s="8"/>
    </row>
    <row r="12" customFormat="false" ht="15" hidden="false" customHeight="false" outlineLevel="0" collapsed="false">
      <c r="A12" s="14"/>
      <c r="B12" s="15" t="str">
        <f aca="false">IF(A12="","",INT((A12-Settings!$B$2)/7)+1)</f>
        <v/>
      </c>
      <c r="C12" s="13"/>
      <c r="D12" s="13"/>
      <c r="E12" s="8"/>
      <c r="F12" s="8"/>
    </row>
    <row r="13" customFormat="false" ht="15" hidden="false" customHeight="false" outlineLevel="0" collapsed="false">
      <c r="A13" s="14"/>
      <c r="B13" s="15" t="str">
        <f aca="false">IF(A13="","",INT((A13-Settings!$B$2)/7)+1)</f>
        <v/>
      </c>
      <c r="C13" s="13"/>
      <c r="D13" s="13"/>
      <c r="E13" s="8"/>
      <c r="F13" s="8"/>
    </row>
    <row r="14" customFormat="false" ht="15" hidden="false" customHeight="false" outlineLevel="0" collapsed="false">
      <c r="A14" s="14"/>
      <c r="B14" s="15" t="str">
        <f aca="false">IF(A14="","",INT((A14-Settings!$B$2)/7)+1)</f>
        <v/>
      </c>
      <c r="C14" s="13"/>
      <c r="D14" s="13"/>
      <c r="E14" s="8"/>
      <c r="F14" s="8"/>
    </row>
    <row r="15" customFormat="false" ht="15" hidden="false" customHeight="false" outlineLevel="0" collapsed="false">
      <c r="A15" s="14"/>
      <c r="B15" s="15" t="str">
        <f aca="false">IF(A15="","",INT((A15-Settings!$B$2)/7)+1)</f>
        <v/>
      </c>
      <c r="C15" s="13"/>
      <c r="D15" s="13"/>
      <c r="E15" s="8"/>
      <c r="F15" s="8"/>
    </row>
    <row r="16" customFormat="false" ht="15" hidden="false" customHeight="false" outlineLevel="0" collapsed="false">
      <c r="A16" s="14"/>
      <c r="B16" s="15" t="str">
        <f aca="false">IF(A16="","",INT((A16-Settings!$B$2)/7)+1)</f>
        <v/>
      </c>
      <c r="C16" s="13"/>
      <c r="D16" s="13"/>
      <c r="E16" s="8"/>
      <c r="F16" s="8"/>
    </row>
    <row r="17" customFormat="false" ht="15" hidden="false" customHeight="false" outlineLevel="0" collapsed="false">
      <c r="A17" s="14"/>
      <c r="B17" s="15" t="str">
        <f aca="false">IF(A17="","",INT((A17-Settings!$B$2)/7)+1)</f>
        <v/>
      </c>
      <c r="C17" s="13"/>
      <c r="D17" s="13"/>
      <c r="E17" s="8"/>
      <c r="F17" s="8"/>
    </row>
    <row r="18" customFormat="false" ht="15" hidden="false" customHeight="false" outlineLevel="0" collapsed="false">
      <c r="A18" s="14"/>
      <c r="B18" s="15" t="str">
        <f aca="false">IF(A18="","",INT((A18-Settings!$B$2)/7)+1)</f>
        <v/>
      </c>
      <c r="C18" s="13"/>
      <c r="D18" s="13"/>
      <c r="E18" s="8"/>
      <c r="F18" s="8"/>
    </row>
    <row r="19" customFormat="false" ht="15" hidden="false" customHeight="false" outlineLevel="0" collapsed="false">
      <c r="A19" s="14"/>
      <c r="B19" s="15" t="str">
        <f aca="false">IF(A19="","",INT((A19-Settings!$B$2)/7)+1)</f>
        <v/>
      </c>
      <c r="C19" s="13"/>
      <c r="D19" s="13"/>
      <c r="E19" s="8"/>
      <c r="F19" s="8"/>
    </row>
    <row r="20" customFormat="false" ht="15" hidden="false" customHeight="false" outlineLevel="0" collapsed="false">
      <c r="A20" s="14"/>
      <c r="B20" s="15" t="str">
        <f aca="false">IF(A20="","",INT((A20-Settings!$B$2)/7)+1)</f>
        <v/>
      </c>
      <c r="C20" s="13"/>
      <c r="D20" s="13"/>
      <c r="E20" s="8"/>
      <c r="F20" s="8"/>
    </row>
    <row r="21" customFormat="false" ht="15" hidden="false" customHeight="false" outlineLevel="0" collapsed="false">
      <c r="A21" s="14"/>
      <c r="B21" s="15" t="str">
        <f aca="false">IF(A21="","",INT((A21-Settings!$B$2)/7)+1)</f>
        <v/>
      </c>
      <c r="C21" s="13"/>
      <c r="D21" s="13"/>
      <c r="E21" s="8"/>
      <c r="F21" s="8"/>
    </row>
    <row r="22" customFormat="false" ht="15" hidden="false" customHeight="false" outlineLevel="0" collapsed="false">
      <c r="A22" s="14"/>
      <c r="B22" s="15" t="str">
        <f aca="false">IF(A22="","",INT((A22-Settings!$B$2)/7)+1)</f>
        <v/>
      </c>
      <c r="C22" s="13"/>
      <c r="D22" s="13"/>
      <c r="E22" s="8"/>
      <c r="F22" s="8"/>
    </row>
    <row r="23" customFormat="false" ht="15" hidden="false" customHeight="false" outlineLevel="0" collapsed="false">
      <c r="A23" s="14"/>
      <c r="B23" s="15" t="str">
        <f aca="false">IF(A23="","",INT((A23-Settings!$B$2)/7)+1)</f>
        <v/>
      </c>
      <c r="C23" s="13"/>
      <c r="D23" s="13"/>
      <c r="E23" s="8"/>
      <c r="F23" s="8"/>
    </row>
    <row r="24" customFormat="false" ht="15" hidden="false" customHeight="false" outlineLevel="0" collapsed="false">
      <c r="A24" s="14"/>
      <c r="B24" s="15" t="str">
        <f aca="false">IF(A24="","",INT((A24-Settings!$B$2)/7)+1)</f>
        <v/>
      </c>
      <c r="C24" s="13"/>
      <c r="D24" s="13"/>
      <c r="E24" s="8"/>
      <c r="F24" s="8"/>
    </row>
    <row r="25" customFormat="false" ht="15" hidden="false" customHeight="false" outlineLevel="0" collapsed="false">
      <c r="A25" s="14"/>
      <c r="B25" s="15" t="str">
        <f aca="false">IF(A25="","",INT((A25-Settings!$B$2)/7)+1)</f>
        <v/>
      </c>
      <c r="C25" s="13"/>
      <c r="D25" s="13"/>
      <c r="E25" s="8"/>
      <c r="F25" s="8"/>
    </row>
    <row r="26" customFormat="false" ht="15" hidden="false" customHeight="false" outlineLevel="0" collapsed="false">
      <c r="A26" s="14"/>
      <c r="B26" s="15" t="str">
        <f aca="false">IF(A26="","",INT((A26-Settings!$B$2)/7)+1)</f>
        <v/>
      </c>
      <c r="C26" s="13"/>
      <c r="D26" s="13"/>
      <c r="E26" s="8"/>
      <c r="F26" s="8"/>
    </row>
    <row r="27" customFormat="false" ht="15" hidden="false" customHeight="false" outlineLevel="0" collapsed="false">
      <c r="A27" s="14"/>
      <c r="B27" s="15" t="str">
        <f aca="false">IF(A27="","",INT((A27-Settings!$B$2)/7)+1)</f>
        <v/>
      </c>
      <c r="C27" s="13"/>
      <c r="D27" s="13"/>
      <c r="E27" s="8"/>
      <c r="F27" s="8"/>
    </row>
    <row r="28" customFormat="false" ht="15" hidden="false" customHeight="false" outlineLevel="0" collapsed="false">
      <c r="A28" s="14"/>
      <c r="B28" s="15" t="str">
        <f aca="false">IF(A28="","",INT((A28-Settings!$B$2)/7)+1)</f>
        <v/>
      </c>
      <c r="C28" s="13"/>
      <c r="D28" s="13"/>
      <c r="E28" s="8"/>
      <c r="F28" s="8"/>
    </row>
    <row r="29" customFormat="false" ht="15" hidden="false" customHeight="false" outlineLevel="0" collapsed="false">
      <c r="A29" s="14"/>
      <c r="B29" s="15" t="str">
        <f aca="false">IF(A29="","",INT((A29-Settings!$B$2)/7)+1)</f>
        <v/>
      </c>
      <c r="C29" s="13"/>
      <c r="D29" s="13"/>
      <c r="E29" s="8"/>
      <c r="F29" s="8"/>
    </row>
    <row r="30" customFormat="false" ht="15" hidden="false" customHeight="false" outlineLevel="0" collapsed="false">
      <c r="A30" s="14"/>
      <c r="B30" s="15" t="str">
        <f aca="false">IF(A30="","",INT((A30-Settings!$B$2)/7)+1)</f>
        <v/>
      </c>
      <c r="C30" s="13"/>
      <c r="D30" s="13"/>
      <c r="E30" s="8"/>
      <c r="F30" s="8"/>
    </row>
    <row r="31" customFormat="false" ht="15" hidden="false" customHeight="false" outlineLevel="0" collapsed="false">
      <c r="A31" s="14"/>
      <c r="B31" s="15" t="str">
        <f aca="false">IF(A31="","",INT((A31-Settings!$B$2)/7)+1)</f>
        <v/>
      </c>
      <c r="C31" s="13"/>
      <c r="D31" s="13"/>
      <c r="E31" s="8"/>
      <c r="F31" s="8"/>
    </row>
    <row r="32" customFormat="false" ht="15" hidden="false" customHeight="false" outlineLevel="0" collapsed="false">
      <c r="A32" s="14"/>
      <c r="B32" s="15" t="str">
        <f aca="false">IF(A32="","",INT((A32-Settings!$B$2)/7)+1)</f>
        <v/>
      </c>
      <c r="C32" s="13"/>
      <c r="D32" s="13"/>
      <c r="E32" s="8"/>
      <c r="F32" s="8"/>
    </row>
    <row r="33" customFormat="false" ht="15" hidden="false" customHeight="false" outlineLevel="0" collapsed="false">
      <c r="A33" s="14"/>
      <c r="B33" s="15" t="str">
        <f aca="false">IF(A33="","",INT((A33-Settings!$B$2)/7)+1)</f>
        <v/>
      </c>
      <c r="C33" s="13"/>
      <c r="D33" s="13"/>
      <c r="E33" s="8"/>
      <c r="F33" s="8"/>
    </row>
    <row r="34" customFormat="false" ht="15" hidden="false" customHeight="false" outlineLevel="0" collapsed="false">
      <c r="A34" s="14"/>
      <c r="B34" s="15" t="str">
        <f aca="false">IF(A34="","",INT((A34-Settings!$B$2)/7)+1)</f>
        <v/>
      </c>
      <c r="C34" s="13"/>
      <c r="D34" s="13"/>
      <c r="E34" s="8"/>
      <c r="F34" s="8"/>
    </row>
    <row r="35" customFormat="false" ht="15" hidden="false" customHeight="false" outlineLevel="0" collapsed="false">
      <c r="A35" s="14"/>
      <c r="B35" s="15" t="str">
        <f aca="false">IF(A35="","",INT((A35-Settings!$B$2)/7)+1)</f>
        <v/>
      </c>
      <c r="C35" s="13"/>
      <c r="D35" s="13"/>
      <c r="E35" s="8"/>
      <c r="F35" s="8"/>
    </row>
    <row r="36" customFormat="false" ht="15" hidden="false" customHeight="false" outlineLevel="0" collapsed="false">
      <c r="A36" s="14"/>
      <c r="B36" s="15" t="str">
        <f aca="false">IF(A36="","",INT((A36-Settings!$B$2)/7)+1)</f>
        <v/>
      </c>
      <c r="C36" s="13"/>
      <c r="D36" s="13"/>
      <c r="E36" s="8"/>
      <c r="F36" s="8"/>
    </row>
    <row r="37" customFormat="false" ht="15" hidden="false" customHeight="false" outlineLevel="0" collapsed="false">
      <c r="A37" s="14"/>
      <c r="B37" s="15" t="str">
        <f aca="false">IF(A37="","",INT((A37-Settings!$B$2)/7)+1)</f>
        <v/>
      </c>
      <c r="C37" s="13"/>
      <c r="D37" s="13"/>
      <c r="E37" s="8"/>
      <c r="F37" s="8"/>
    </row>
    <row r="38" customFormat="false" ht="15" hidden="false" customHeight="false" outlineLevel="0" collapsed="false">
      <c r="A38" s="14"/>
      <c r="B38" s="15" t="str">
        <f aca="false">IF(A38="","",INT((A38-Settings!$B$2)/7)+1)</f>
        <v/>
      </c>
      <c r="C38" s="13"/>
      <c r="D38" s="13"/>
      <c r="E38" s="8"/>
      <c r="F38" s="8"/>
    </row>
    <row r="39" customFormat="false" ht="15" hidden="false" customHeight="false" outlineLevel="0" collapsed="false">
      <c r="A39" s="14"/>
      <c r="B39" s="15" t="str">
        <f aca="false">IF(A39="","",INT((A39-Settings!$B$2)/7)+1)</f>
        <v/>
      </c>
      <c r="C39" s="13"/>
      <c r="D39" s="13"/>
      <c r="E39" s="8"/>
      <c r="F39" s="8"/>
    </row>
    <row r="40" customFormat="false" ht="15" hidden="false" customHeight="false" outlineLevel="0" collapsed="false">
      <c r="A40" s="14"/>
      <c r="B40" s="15" t="str">
        <f aca="false">IF(A40="","",INT((A40-Settings!$B$2)/7)+1)</f>
        <v/>
      </c>
      <c r="C40" s="13"/>
      <c r="D40" s="13"/>
      <c r="E40" s="8"/>
      <c r="F40" s="8"/>
    </row>
    <row r="41" customFormat="false" ht="15" hidden="false" customHeight="false" outlineLevel="0" collapsed="false">
      <c r="A41" s="14"/>
      <c r="B41" s="15" t="str">
        <f aca="false">IF(A41="","",INT((A41-Settings!$B$2)/7)+1)</f>
        <v/>
      </c>
      <c r="C41" s="13"/>
      <c r="D41" s="13"/>
      <c r="E41" s="8"/>
      <c r="F41" s="8"/>
    </row>
    <row r="42" customFormat="false" ht="15" hidden="false" customHeight="false" outlineLevel="0" collapsed="false">
      <c r="A42" s="14"/>
      <c r="B42" s="15" t="str">
        <f aca="false">IF(A42="","",INT((A42-Settings!$B$2)/7)+1)</f>
        <v/>
      </c>
      <c r="C42" s="13"/>
      <c r="D42" s="13"/>
      <c r="E42" s="8"/>
      <c r="F42" s="8"/>
    </row>
    <row r="43" customFormat="false" ht="15" hidden="false" customHeight="false" outlineLevel="0" collapsed="false">
      <c r="A43" s="14"/>
      <c r="B43" s="15" t="str">
        <f aca="false">IF(A43="","",INT((A43-Settings!$B$2)/7)+1)</f>
        <v/>
      </c>
      <c r="C43" s="13"/>
      <c r="D43" s="13"/>
      <c r="E43" s="8"/>
      <c r="F43" s="8"/>
    </row>
    <row r="44" customFormat="false" ht="15" hidden="false" customHeight="false" outlineLevel="0" collapsed="false">
      <c r="A44" s="14"/>
      <c r="B44" s="15" t="str">
        <f aca="false">IF(A44="","",INT((A44-Settings!$B$2)/7)+1)</f>
        <v/>
      </c>
      <c r="C44" s="13"/>
      <c r="D44" s="13"/>
      <c r="E44" s="8"/>
      <c r="F44" s="8"/>
    </row>
    <row r="45" customFormat="false" ht="15" hidden="false" customHeight="false" outlineLevel="0" collapsed="false">
      <c r="A45" s="14"/>
      <c r="B45" s="15" t="str">
        <f aca="false">IF(A45="","",INT((A45-Settings!$B$2)/7)+1)</f>
        <v/>
      </c>
      <c r="C45" s="13"/>
      <c r="D45" s="13"/>
      <c r="E45" s="8"/>
      <c r="F45" s="8"/>
    </row>
    <row r="46" customFormat="false" ht="15" hidden="false" customHeight="false" outlineLevel="0" collapsed="false">
      <c r="A46" s="14"/>
      <c r="B46" s="15" t="str">
        <f aca="false">IF(A46="","",INT((A46-Settings!$B$2)/7)+1)</f>
        <v/>
      </c>
      <c r="C46" s="13"/>
      <c r="D46" s="13"/>
      <c r="E46" s="8"/>
      <c r="F46" s="8"/>
    </row>
    <row r="47" customFormat="false" ht="15" hidden="false" customHeight="false" outlineLevel="0" collapsed="false">
      <c r="A47" s="14"/>
      <c r="B47" s="15" t="str">
        <f aca="false">IF(A47="","",INT((A47-Settings!$B$2)/7)+1)</f>
        <v/>
      </c>
      <c r="C47" s="13"/>
      <c r="D47" s="13"/>
      <c r="E47" s="8"/>
      <c r="F47" s="8"/>
    </row>
    <row r="48" customFormat="false" ht="15" hidden="false" customHeight="false" outlineLevel="0" collapsed="false">
      <c r="A48" s="14"/>
      <c r="B48" s="15" t="str">
        <f aca="false">IF(A48="","",INT((A48-Settings!$B$2)/7)+1)</f>
        <v/>
      </c>
      <c r="C48" s="13"/>
      <c r="D48" s="13"/>
      <c r="E48" s="8"/>
      <c r="F48" s="8"/>
    </row>
    <row r="49" customFormat="false" ht="15" hidden="false" customHeight="false" outlineLevel="0" collapsed="false">
      <c r="A49" s="14"/>
      <c r="B49" s="15" t="str">
        <f aca="false">IF(A49="","",INT((A49-Settings!$B$2)/7)+1)</f>
        <v/>
      </c>
      <c r="C49" s="13"/>
      <c r="D49" s="13"/>
      <c r="E49" s="8"/>
      <c r="F49" s="8"/>
    </row>
    <row r="50" customFormat="false" ht="15" hidden="false" customHeight="false" outlineLevel="0" collapsed="false">
      <c r="A50" s="14"/>
      <c r="B50" s="15" t="str">
        <f aca="false">IF(A50="","",INT((A50-Settings!$B$2)/7)+1)</f>
        <v/>
      </c>
      <c r="C50" s="13"/>
      <c r="D50" s="13"/>
      <c r="E50" s="8"/>
      <c r="F50" s="8"/>
    </row>
    <row r="51" customFormat="false" ht="15" hidden="false" customHeight="false" outlineLevel="0" collapsed="false">
      <c r="A51" s="14"/>
      <c r="B51" s="15" t="str">
        <f aca="false">IF(A51="","",INT((A51-Settings!$B$2)/7)+1)</f>
        <v/>
      </c>
      <c r="C51" s="13"/>
      <c r="D51" s="13"/>
      <c r="E51" s="8"/>
      <c r="F51" s="8"/>
    </row>
    <row r="52" customFormat="false" ht="15" hidden="false" customHeight="false" outlineLevel="0" collapsed="false">
      <c r="A52" s="14"/>
      <c r="B52" s="15" t="str">
        <f aca="false">IF(A52="","",INT((A52-Settings!$B$2)/7)+1)</f>
        <v/>
      </c>
      <c r="C52" s="13"/>
      <c r="D52" s="13"/>
      <c r="E52" s="8"/>
      <c r="F52" s="8"/>
    </row>
    <row r="53" customFormat="false" ht="15" hidden="false" customHeight="false" outlineLevel="0" collapsed="false">
      <c r="A53" s="14"/>
      <c r="B53" s="15" t="str">
        <f aca="false">IF(A53="","",INT((A53-Settings!$B$2)/7)+1)</f>
        <v/>
      </c>
      <c r="C53" s="13"/>
      <c r="D53" s="13"/>
      <c r="E53" s="8"/>
      <c r="F53" s="8"/>
    </row>
    <row r="54" customFormat="false" ht="15" hidden="false" customHeight="false" outlineLevel="0" collapsed="false">
      <c r="A54" s="14"/>
      <c r="B54" s="15" t="str">
        <f aca="false">IF(A54="","",INT((A54-Settings!$B$2)/7)+1)</f>
        <v/>
      </c>
      <c r="C54" s="13"/>
      <c r="D54" s="13"/>
      <c r="E54" s="8"/>
      <c r="F54" s="8"/>
    </row>
    <row r="55" customFormat="false" ht="15" hidden="false" customHeight="false" outlineLevel="0" collapsed="false">
      <c r="A55" s="14"/>
      <c r="B55" s="15" t="str">
        <f aca="false">IF(A55="","",INT((A55-Settings!$B$2)/7)+1)</f>
        <v/>
      </c>
      <c r="C55" s="13"/>
      <c r="D55" s="13"/>
      <c r="E55" s="8"/>
      <c r="F55" s="8"/>
    </row>
    <row r="56" customFormat="false" ht="15" hidden="false" customHeight="false" outlineLevel="0" collapsed="false">
      <c r="A56" s="14"/>
      <c r="B56" s="15" t="str">
        <f aca="false">IF(A56="","",INT((A56-Settings!$B$2)/7)+1)</f>
        <v/>
      </c>
      <c r="C56" s="13"/>
      <c r="D56" s="13"/>
      <c r="E56" s="8"/>
      <c r="F56" s="8"/>
    </row>
    <row r="57" customFormat="false" ht="15" hidden="false" customHeight="false" outlineLevel="0" collapsed="false">
      <c r="A57" s="14"/>
      <c r="B57" s="15" t="str">
        <f aca="false">IF(A57="","",INT((A57-Settings!$B$2)/7)+1)</f>
        <v/>
      </c>
      <c r="C57" s="13"/>
      <c r="D57" s="13"/>
      <c r="E57" s="8"/>
      <c r="F57" s="8"/>
    </row>
    <row r="58" customFormat="false" ht="15" hidden="false" customHeight="false" outlineLevel="0" collapsed="false">
      <c r="A58" s="14"/>
      <c r="B58" s="15" t="str">
        <f aca="false">IF(A58="","",INT((A58-Settings!$B$2)/7)+1)</f>
        <v/>
      </c>
      <c r="C58" s="13"/>
      <c r="D58" s="13"/>
      <c r="E58" s="8"/>
      <c r="F58" s="8"/>
    </row>
    <row r="59" customFormat="false" ht="15" hidden="false" customHeight="false" outlineLevel="0" collapsed="false">
      <c r="A59" s="14"/>
      <c r="B59" s="15" t="str">
        <f aca="false">IF(A59="","",INT((A59-Settings!$B$2)/7)+1)</f>
        <v/>
      </c>
      <c r="C59" s="13"/>
      <c r="D59" s="13"/>
      <c r="E59" s="8"/>
      <c r="F59" s="8"/>
    </row>
    <row r="60" customFormat="false" ht="15" hidden="false" customHeight="false" outlineLevel="0" collapsed="false">
      <c r="A60" s="14"/>
      <c r="B60" s="15" t="str">
        <f aca="false">IF(A60="","",INT((A60-Settings!$B$2)/7)+1)</f>
        <v/>
      </c>
      <c r="C60" s="13"/>
      <c r="D60" s="13"/>
      <c r="E60" s="8"/>
      <c r="F60" s="8"/>
    </row>
    <row r="61" customFormat="false" ht="15" hidden="false" customHeight="false" outlineLevel="0" collapsed="false">
      <c r="A61" s="14"/>
      <c r="B61" s="15" t="str">
        <f aca="false">IF(A61="","",INT((A61-Settings!$B$2)/7)+1)</f>
        <v/>
      </c>
      <c r="C61" s="13"/>
      <c r="D61" s="13"/>
      <c r="E61" s="8"/>
      <c r="F61" s="8"/>
    </row>
    <row r="62" customFormat="false" ht="15" hidden="false" customHeight="false" outlineLevel="0" collapsed="false">
      <c r="A62" s="14"/>
      <c r="B62" s="15" t="str">
        <f aca="false">IF(A62="","",INT((A62-Settings!$B$2)/7)+1)</f>
        <v/>
      </c>
      <c r="C62" s="13"/>
      <c r="D62" s="13"/>
      <c r="E62" s="8"/>
      <c r="F62" s="8"/>
    </row>
    <row r="63" customFormat="false" ht="15" hidden="false" customHeight="false" outlineLevel="0" collapsed="false">
      <c r="A63" s="14"/>
      <c r="B63" s="15" t="str">
        <f aca="false">IF(A63="","",INT((A63-Settings!$B$2)/7)+1)</f>
        <v/>
      </c>
      <c r="C63" s="13"/>
      <c r="D63" s="13"/>
      <c r="E63" s="8"/>
      <c r="F63" s="8"/>
    </row>
    <row r="64" customFormat="false" ht="15" hidden="false" customHeight="false" outlineLevel="0" collapsed="false">
      <c r="A64" s="14"/>
      <c r="B64" s="15" t="str">
        <f aca="false">IF(A64="","",INT((A64-Settings!$B$2)/7)+1)</f>
        <v/>
      </c>
      <c r="C64" s="13"/>
      <c r="D64" s="13"/>
      <c r="E64" s="8"/>
      <c r="F64" s="8"/>
    </row>
    <row r="65" customFormat="false" ht="15" hidden="false" customHeight="false" outlineLevel="0" collapsed="false">
      <c r="A65" s="14"/>
      <c r="B65" s="15" t="str">
        <f aca="false">IF(A65="","",INT((A65-Settings!$B$2)/7)+1)</f>
        <v/>
      </c>
      <c r="C65" s="13"/>
      <c r="D65" s="13"/>
      <c r="E65" s="8"/>
      <c r="F65" s="8"/>
    </row>
    <row r="66" customFormat="false" ht="15" hidden="false" customHeight="false" outlineLevel="0" collapsed="false">
      <c r="A66" s="14"/>
      <c r="B66" s="15" t="str">
        <f aca="false">IF(A66="","",INT((A66-Settings!$B$2)/7)+1)</f>
        <v/>
      </c>
      <c r="C66" s="13"/>
      <c r="D66" s="13"/>
      <c r="E66" s="8"/>
      <c r="F66" s="8"/>
    </row>
    <row r="67" customFormat="false" ht="15" hidden="false" customHeight="false" outlineLevel="0" collapsed="false">
      <c r="A67" s="14"/>
      <c r="B67" s="15" t="str">
        <f aca="false">IF(A67="","",INT((A67-Settings!$B$2)/7)+1)</f>
        <v/>
      </c>
      <c r="C67" s="13"/>
      <c r="D67" s="13"/>
      <c r="E67" s="8"/>
      <c r="F67" s="8"/>
    </row>
    <row r="68" customFormat="false" ht="15" hidden="false" customHeight="false" outlineLevel="0" collapsed="false">
      <c r="A68" s="14"/>
      <c r="B68" s="15" t="str">
        <f aca="false">IF(A68="","",INT((A68-Settings!$B$2)/7)+1)</f>
        <v/>
      </c>
      <c r="C68" s="13"/>
      <c r="D68" s="13"/>
      <c r="E68" s="8"/>
      <c r="F68" s="8"/>
    </row>
    <row r="69" customFormat="false" ht="15" hidden="false" customHeight="false" outlineLevel="0" collapsed="false">
      <c r="A69" s="14"/>
      <c r="B69" s="15" t="str">
        <f aca="false">IF(A69="","",INT((A69-Settings!$B$2)/7)+1)</f>
        <v/>
      </c>
      <c r="C69" s="13"/>
      <c r="D69" s="13"/>
      <c r="E69" s="8"/>
      <c r="F69" s="8"/>
    </row>
    <row r="70" customFormat="false" ht="15" hidden="false" customHeight="false" outlineLevel="0" collapsed="false">
      <c r="A70" s="14"/>
      <c r="B70" s="15" t="str">
        <f aca="false">IF(A70="","",INT((A70-Settings!$B$2)/7)+1)</f>
        <v/>
      </c>
      <c r="C70" s="13"/>
      <c r="D70" s="13"/>
      <c r="E70" s="8"/>
      <c r="F70" s="8"/>
    </row>
    <row r="71" customFormat="false" ht="15" hidden="false" customHeight="false" outlineLevel="0" collapsed="false">
      <c r="A71" s="14"/>
      <c r="B71" s="15" t="str">
        <f aca="false">IF(A71="","",INT((A71-Settings!$B$2)/7)+1)</f>
        <v/>
      </c>
      <c r="C71" s="13"/>
      <c r="D71" s="13"/>
      <c r="E71" s="8"/>
      <c r="F71" s="8"/>
    </row>
    <row r="72" customFormat="false" ht="15" hidden="false" customHeight="false" outlineLevel="0" collapsed="false">
      <c r="A72" s="14"/>
      <c r="B72" s="15" t="str">
        <f aca="false">IF(A72="","",INT((A72-Settings!$B$2)/7)+1)</f>
        <v/>
      </c>
      <c r="C72" s="13"/>
      <c r="D72" s="13"/>
      <c r="E72" s="8"/>
      <c r="F72" s="8"/>
    </row>
    <row r="73" customFormat="false" ht="15" hidden="false" customHeight="false" outlineLevel="0" collapsed="false">
      <c r="A73" s="14"/>
      <c r="B73" s="15" t="str">
        <f aca="false">IF(A73="","",INT((A73-Settings!$B$2)/7)+1)</f>
        <v/>
      </c>
      <c r="C73" s="13"/>
      <c r="D73" s="13"/>
      <c r="E73" s="8"/>
      <c r="F73" s="8"/>
    </row>
    <row r="74" customFormat="false" ht="15" hidden="false" customHeight="false" outlineLevel="0" collapsed="false">
      <c r="A74" s="14"/>
      <c r="B74" s="15" t="str">
        <f aca="false">IF(A74="","",INT((A74-Settings!$B$2)/7)+1)</f>
        <v/>
      </c>
      <c r="C74" s="13"/>
      <c r="D74" s="13"/>
      <c r="E74" s="8"/>
      <c r="F74" s="8"/>
    </row>
    <row r="75" customFormat="false" ht="15" hidden="false" customHeight="false" outlineLevel="0" collapsed="false">
      <c r="A75" s="14"/>
      <c r="B75" s="15" t="str">
        <f aca="false">IF(A75="","",INT((A75-Settings!$B$2)/7)+1)</f>
        <v/>
      </c>
      <c r="C75" s="13"/>
      <c r="D75" s="13"/>
      <c r="E75" s="8"/>
      <c r="F75" s="8"/>
    </row>
    <row r="76" customFormat="false" ht="15" hidden="false" customHeight="false" outlineLevel="0" collapsed="false">
      <c r="A76" s="14"/>
      <c r="B76" s="15" t="str">
        <f aca="false">IF(A76="","",INT((A76-Settings!$B$2)/7)+1)</f>
        <v/>
      </c>
      <c r="C76" s="13"/>
      <c r="D76" s="13"/>
      <c r="E76" s="8"/>
      <c r="F76" s="8"/>
    </row>
    <row r="77" customFormat="false" ht="15" hidden="false" customHeight="false" outlineLevel="0" collapsed="false">
      <c r="A77" s="14"/>
      <c r="B77" s="15" t="str">
        <f aca="false">IF(A77="","",INT((A77-Settings!$B$2)/7)+1)</f>
        <v/>
      </c>
      <c r="C77" s="13"/>
      <c r="D77" s="13"/>
      <c r="E77" s="8"/>
      <c r="F77" s="8"/>
    </row>
    <row r="78" customFormat="false" ht="15" hidden="false" customHeight="false" outlineLevel="0" collapsed="false">
      <c r="A78" s="14"/>
      <c r="B78" s="15" t="str">
        <f aca="false">IF(A78="","",INT((A78-Settings!$B$2)/7)+1)</f>
        <v/>
      </c>
      <c r="C78" s="13"/>
      <c r="D78" s="13"/>
      <c r="E78" s="8"/>
      <c r="F78" s="8"/>
    </row>
    <row r="79" customFormat="false" ht="15" hidden="false" customHeight="false" outlineLevel="0" collapsed="false">
      <c r="A79" s="14"/>
      <c r="B79" s="15" t="str">
        <f aca="false">IF(A79="","",INT((A79-Settings!$B$2)/7)+1)</f>
        <v/>
      </c>
      <c r="C79" s="13"/>
      <c r="D79" s="13"/>
      <c r="E79" s="8"/>
      <c r="F79" s="8"/>
    </row>
    <row r="80" customFormat="false" ht="15" hidden="false" customHeight="false" outlineLevel="0" collapsed="false">
      <c r="A80" s="14"/>
      <c r="B80" s="15" t="str">
        <f aca="false">IF(A80="","",INT((A80-Settings!$B$2)/7)+1)</f>
        <v/>
      </c>
      <c r="C80" s="13"/>
      <c r="D80" s="13"/>
      <c r="E80" s="8"/>
      <c r="F80" s="8"/>
    </row>
    <row r="81" customFormat="false" ht="15" hidden="false" customHeight="false" outlineLevel="0" collapsed="false">
      <c r="A81" s="14"/>
      <c r="B81" s="15" t="str">
        <f aca="false">IF(A81="","",INT((A81-Settings!$B$2)/7)+1)</f>
        <v/>
      </c>
      <c r="C81" s="13"/>
      <c r="D81" s="13"/>
      <c r="E81" s="8"/>
      <c r="F81" s="8"/>
    </row>
    <row r="82" customFormat="false" ht="15" hidden="false" customHeight="false" outlineLevel="0" collapsed="false">
      <c r="A82" s="14"/>
      <c r="B82" s="15" t="str">
        <f aca="false">IF(A82="","",INT((A82-Settings!$B$2)/7)+1)</f>
        <v/>
      </c>
      <c r="C82" s="13"/>
      <c r="D82" s="13"/>
      <c r="E82" s="8"/>
      <c r="F82" s="8"/>
    </row>
    <row r="83" customFormat="false" ht="15" hidden="false" customHeight="false" outlineLevel="0" collapsed="false">
      <c r="A83" s="14"/>
      <c r="B83" s="15" t="str">
        <f aca="false">IF(A83="","",INT((A83-Settings!$B$2)/7)+1)</f>
        <v/>
      </c>
      <c r="C83" s="13"/>
      <c r="D83" s="13"/>
      <c r="E83" s="8"/>
      <c r="F83" s="8"/>
    </row>
    <row r="84" customFormat="false" ht="15" hidden="false" customHeight="false" outlineLevel="0" collapsed="false">
      <c r="A84" s="14"/>
      <c r="B84" s="15" t="str">
        <f aca="false">IF(A84="","",INT((A84-Settings!$B$2)/7)+1)</f>
        <v/>
      </c>
      <c r="C84" s="13"/>
      <c r="D84" s="13"/>
      <c r="E84" s="8"/>
      <c r="F84" s="8"/>
    </row>
    <row r="85" customFormat="false" ht="15" hidden="false" customHeight="false" outlineLevel="0" collapsed="false">
      <c r="A85" s="14"/>
      <c r="B85" s="15" t="str">
        <f aca="false">IF(A85="","",INT((A85-Settings!$B$2)/7)+1)</f>
        <v/>
      </c>
      <c r="C85" s="13"/>
      <c r="D85" s="13"/>
      <c r="E85" s="8"/>
      <c r="F85" s="8"/>
    </row>
    <row r="86" customFormat="false" ht="15" hidden="false" customHeight="false" outlineLevel="0" collapsed="false">
      <c r="A86" s="14"/>
      <c r="B86" s="15" t="str">
        <f aca="false">IF(A86="","",INT((A86-Settings!$B$2)/7)+1)</f>
        <v/>
      </c>
      <c r="C86" s="13"/>
      <c r="D86" s="13"/>
      <c r="E86" s="8"/>
      <c r="F86" s="8"/>
    </row>
    <row r="87" customFormat="false" ht="15" hidden="false" customHeight="false" outlineLevel="0" collapsed="false">
      <c r="A87" s="14"/>
      <c r="B87" s="15" t="str">
        <f aca="false">IF(A87="","",INT((A87-Settings!$B$2)/7)+1)</f>
        <v/>
      </c>
      <c r="C87" s="13"/>
      <c r="D87" s="13"/>
      <c r="E87" s="8"/>
      <c r="F87" s="8"/>
    </row>
    <row r="88" customFormat="false" ht="15" hidden="false" customHeight="false" outlineLevel="0" collapsed="false">
      <c r="A88" s="14"/>
      <c r="B88" s="15" t="str">
        <f aca="false">IF(A88="","",INT((A88-Settings!$B$2)/7)+1)</f>
        <v/>
      </c>
      <c r="C88" s="13"/>
      <c r="D88" s="13"/>
      <c r="E88" s="8"/>
      <c r="F88" s="8"/>
    </row>
    <row r="89" customFormat="false" ht="15" hidden="false" customHeight="false" outlineLevel="0" collapsed="false">
      <c r="A89" s="14"/>
      <c r="B89" s="15" t="str">
        <f aca="false">IF(A89="","",INT((A89-Settings!$B$2)/7)+1)</f>
        <v/>
      </c>
      <c r="C89" s="13"/>
      <c r="D89" s="13"/>
      <c r="E89" s="8"/>
      <c r="F89" s="8"/>
    </row>
    <row r="90" customFormat="false" ht="15" hidden="false" customHeight="false" outlineLevel="0" collapsed="false">
      <c r="A90" s="14"/>
      <c r="B90" s="15" t="str">
        <f aca="false">IF(A90="","",INT((A90-Settings!$B$2)/7)+1)</f>
        <v/>
      </c>
      <c r="C90" s="13"/>
      <c r="D90" s="13"/>
      <c r="E90" s="8"/>
      <c r="F90" s="8"/>
    </row>
    <row r="91" customFormat="false" ht="15" hidden="false" customHeight="false" outlineLevel="0" collapsed="false">
      <c r="A91" s="14"/>
      <c r="B91" s="15" t="str">
        <f aca="false">IF(A91="","",INT((A91-Settings!$B$2)/7)+1)</f>
        <v/>
      </c>
      <c r="C91" s="13"/>
      <c r="D91" s="13"/>
      <c r="E91" s="8"/>
      <c r="F91" s="8"/>
    </row>
    <row r="92" customFormat="false" ht="15" hidden="false" customHeight="false" outlineLevel="0" collapsed="false">
      <c r="A92" s="14"/>
      <c r="B92" s="15" t="str">
        <f aca="false">IF(A92="","",INT((A92-Settings!$B$2)/7)+1)</f>
        <v/>
      </c>
      <c r="C92" s="13"/>
      <c r="D92" s="13"/>
      <c r="E92" s="8"/>
      <c r="F92" s="8"/>
    </row>
    <row r="93" customFormat="false" ht="15" hidden="false" customHeight="false" outlineLevel="0" collapsed="false">
      <c r="A93" s="14"/>
      <c r="B93" s="15" t="str">
        <f aca="false">IF(A93="","",INT((A93-Settings!$B$2)/7)+1)</f>
        <v/>
      </c>
      <c r="C93" s="13"/>
      <c r="D93" s="13"/>
      <c r="E93" s="8"/>
      <c r="F93" s="8"/>
    </row>
    <row r="94" customFormat="false" ht="15" hidden="false" customHeight="false" outlineLevel="0" collapsed="false">
      <c r="A94" s="14"/>
      <c r="B94" s="15" t="str">
        <f aca="false">IF(A94="","",INT((A94-Settings!$B$2)/7)+1)</f>
        <v/>
      </c>
      <c r="C94" s="13"/>
      <c r="D94" s="13"/>
      <c r="E94" s="8"/>
      <c r="F94" s="8"/>
    </row>
    <row r="95" customFormat="false" ht="15" hidden="false" customHeight="false" outlineLevel="0" collapsed="false">
      <c r="A95" s="14"/>
      <c r="B95" s="15" t="str">
        <f aca="false">IF(A95="","",INT((A95-Settings!$B$2)/7)+1)</f>
        <v/>
      </c>
      <c r="C95" s="13"/>
      <c r="D95" s="13"/>
      <c r="E95" s="8"/>
      <c r="F95" s="8"/>
    </row>
    <row r="96" customFormat="false" ht="15" hidden="false" customHeight="false" outlineLevel="0" collapsed="false">
      <c r="A96" s="14"/>
      <c r="B96" s="15" t="str">
        <f aca="false">IF(A96="","",INT((A96-Settings!$B$2)/7)+1)</f>
        <v/>
      </c>
      <c r="C96" s="13"/>
      <c r="D96" s="13"/>
      <c r="E96" s="8"/>
      <c r="F96" s="8"/>
    </row>
    <row r="97" customFormat="false" ht="15" hidden="false" customHeight="false" outlineLevel="0" collapsed="false">
      <c r="A97" s="14"/>
      <c r="B97" s="15" t="str">
        <f aca="false">IF(A97="","",INT((A97-Settings!$B$2)/7)+1)</f>
        <v/>
      </c>
      <c r="C97" s="13"/>
      <c r="D97" s="13"/>
      <c r="E97" s="8"/>
      <c r="F97" s="8"/>
    </row>
    <row r="98" customFormat="false" ht="15" hidden="false" customHeight="false" outlineLevel="0" collapsed="false">
      <c r="A98" s="14"/>
      <c r="B98" s="15" t="str">
        <f aca="false">IF(A98="","",INT((A98-Settings!$B$2)/7)+1)</f>
        <v/>
      </c>
      <c r="C98" s="13"/>
      <c r="D98" s="13"/>
      <c r="E98" s="8"/>
      <c r="F98" s="8"/>
    </row>
    <row r="99" customFormat="false" ht="15" hidden="false" customHeight="false" outlineLevel="0" collapsed="false">
      <c r="A99" s="14"/>
      <c r="B99" s="15" t="str">
        <f aca="false">IF(A99="","",INT((A99-Settings!$B$2)/7)+1)</f>
        <v/>
      </c>
      <c r="C99" s="13"/>
      <c r="D99" s="13"/>
      <c r="E99" s="8"/>
      <c r="F99" s="8"/>
    </row>
    <row r="100" customFormat="false" ht="15" hidden="false" customHeight="false" outlineLevel="0" collapsed="false">
      <c r="A100" s="14"/>
      <c r="B100" s="15" t="str">
        <f aca="false">IF(A100="","",INT((A100-Settings!$B$2)/7)+1)</f>
        <v/>
      </c>
      <c r="C100" s="13"/>
      <c r="D100" s="13"/>
      <c r="E100" s="8"/>
      <c r="F100" s="8"/>
    </row>
    <row r="101" customFormat="false" ht="15" hidden="false" customHeight="false" outlineLevel="0" collapsed="false">
      <c r="A101" s="14"/>
      <c r="B101" s="15" t="str">
        <f aca="false">IF(A101="","",INT((A101-Settings!$B$2)/7)+1)</f>
        <v/>
      </c>
      <c r="C101" s="13"/>
      <c r="D101" s="13"/>
      <c r="E101" s="8"/>
      <c r="F101" s="8"/>
    </row>
    <row r="102" customFormat="false" ht="15" hidden="false" customHeight="false" outlineLevel="0" collapsed="false">
      <c r="A102" s="14"/>
      <c r="B102" s="15" t="str">
        <f aca="false">IF(A102="","",INT((A102-Settings!$B$2)/7)+1)</f>
        <v/>
      </c>
      <c r="C102" s="13"/>
      <c r="D102" s="13"/>
      <c r="E102" s="8"/>
      <c r="F102" s="8"/>
    </row>
    <row r="103" customFormat="false" ht="15" hidden="false" customHeight="false" outlineLevel="0" collapsed="false">
      <c r="A103" s="14"/>
      <c r="B103" s="15" t="str">
        <f aca="false">IF(A103="","",INT((A103-Settings!$B$2)/7)+1)</f>
        <v/>
      </c>
      <c r="C103" s="13"/>
      <c r="D103" s="13"/>
      <c r="E103" s="8"/>
      <c r="F103" s="8"/>
    </row>
    <row r="104" customFormat="false" ht="15" hidden="false" customHeight="false" outlineLevel="0" collapsed="false">
      <c r="A104" s="14"/>
      <c r="B104" s="15" t="str">
        <f aca="false">IF(A104="","",INT((A104-Settings!$B$2)/7)+1)</f>
        <v/>
      </c>
      <c r="C104" s="13"/>
      <c r="D104" s="13"/>
      <c r="E104" s="8"/>
      <c r="F104" s="8"/>
    </row>
    <row r="105" customFormat="false" ht="15" hidden="false" customHeight="false" outlineLevel="0" collapsed="false">
      <c r="A105" s="14"/>
      <c r="B105" s="15" t="str">
        <f aca="false">IF(A105="","",INT((A105-Settings!$B$2)/7)+1)</f>
        <v/>
      </c>
      <c r="C105" s="13"/>
      <c r="D105" s="13"/>
      <c r="E105" s="8"/>
      <c r="F105" s="8"/>
    </row>
    <row r="106" customFormat="false" ht="15" hidden="false" customHeight="false" outlineLevel="0" collapsed="false">
      <c r="A106" s="14"/>
      <c r="B106" s="15" t="str">
        <f aca="false">IF(A106="","",INT((A106-Settings!$B$2)/7)+1)</f>
        <v/>
      </c>
      <c r="C106" s="13"/>
      <c r="D106" s="13"/>
      <c r="E106" s="8"/>
      <c r="F106" s="8"/>
    </row>
    <row r="107" customFormat="false" ht="15" hidden="false" customHeight="false" outlineLevel="0" collapsed="false">
      <c r="A107" s="14"/>
      <c r="B107" s="15" t="str">
        <f aca="false">IF(A107="","",INT((A107-Settings!$B$2)/7)+1)</f>
        <v/>
      </c>
      <c r="C107" s="13"/>
      <c r="D107" s="13"/>
      <c r="E107" s="8"/>
      <c r="F107" s="8"/>
    </row>
    <row r="108" customFormat="false" ht="15" hidden="false" customHeight="false" outlineLevel="0" collapsed="false">
      <c r="A108" s="14"/>
      <c r="B108" s="15" t="str">
        <f aca="false">IF(A108="","",INT((A108-Settings!$B$2)/7)+1)</f>
        <v/>
      </c>
      <c r="C108" s="13"/>
      <c r="D108" s="13"/>
      <c r="E108" s="8"/>
      <c r="F108" s="8"/>
    </row>
    <row r="109" customFormat="false" ht="15" hidden="false" customHeight="false" outlineLevel="0" collapsed="false">
      <c r="A109" s="14"/>
      <c r="B109" s="15" t="str">
        <f aca="false">IF(A109="","",INT((A109-Settings!$B$2)/7)+1)</f>
        <v/>
      </c>
      <c r="C109" s="13"/>
      <c r="D109" s="13"/>
      <c r="E109" s="8"/>
      <c r="F109" s="8"/>
    </row>
    <row r="110" customFormat="false" ht="15" hidden="false" customHeight="false" outlineLevel="0" collapsed="false">
      <c r="A110" s="14"/>
      <c r="B110" s="15" t="str">
        <f aca="false">IF(A110="","",INT((A110-Settings!$B$2)/7)+1)</f>
        <v/>
      </c>
      <c r="C110" s="13"/>
      <c r="D110" s="13"/>
      <c r="E110" s="8"/>
      <c r="F110" s="8"/>
    </row>
    <row r="111" customFormat="false" ht="15" hidden="false" customHeight="false" outlineLevel="0" collapsed="false">
      <c r="A111" s="14"/>
      <c r="B111" s="15" t="str">
        <f aca="false">IF(A111="","",INT((A111-Settings!$B$2)/7)+1)</f>
        <v/>
      </c>
      <c r="C111" s="13"/>
      <c r="D111" s="13"/>
      <c r="E111" s="8"/>
      <c r="F111" s="8"/>
    </row>
    <row r="112" customFormat="false" ht="15" hidden="false" customHeight="false" outlineLevel="0" collapsed="false">
      <c r="A112" s="14"/>
      <c r="B112" s="15" t="str">
        <f aca="false">IF(A112="","",INT((A112-Settings!$B$2)/7)+1)</f>
        <v/>
      </c>
      <c r="C112" s="13"/>
      <c r="D112" s="13"/>
      <c r="E112" s="8"/>
      <c r="F112" s="8"/>
    </row>
    <row r="113" customFormat="false" ht="15" hidden="false" customHeight="false" outlineLevel="0" collapsed="false">
      <c r="A113" s="14"/>
      <c r="B113" s="15" t="str">
        <f aca="false">IF(A113="","",INT((A113-Settings!$B$2)/7)+1)</f>
        <v/>
      </c>
      <c r="C113" s="13"/>
      <c r="D113" s="13"/>
      <c r="E113" s="8"/>
      <c r="F113" s="8"/>
    </row>
    <row r="114" customFormat="false" ht="15" hidden="false" customHeight="false" outlineLevel="0" collapsed="false">
      <c r="A114" s="14"/>
      <c r="B114" s="15" t="str">
        <f aca="false">IF(A114="","",INT((A114-Settings!$B$2)/7)+1)</f>
        <v/>
      </c>
      <c r="C114" s="13"/>
      <c r="D114" s="13"/>
      <c r="E114" s="8"/>
      <c r="F114" s="8"/>
    </row>
    <row r="115" customFormat="false" ht="15" hidden="false" customHeight="false" outlineLevel="0" collapsed="false">
      <c r="A115" s="14"/>
      <c r="B115" s="15" t="str">
        <f aca="false">IF(A115="","",INT((A115-Settings!$B$2)/7)+1)</f>
        <v/>
      </c>
      <c r="C115" s="13"/>
      <c r="D115" s="13"/>
      <c r="E115" s="8"/>
      <c r="F115" s="8"/>
    </row>
    <row r="116" customFormat="false" ht="15" hidden="false" customHeight="false" outlineLevel="0" collapsed="false">
      <c r="A116" s="14"/>
      <c r="B116" s="15" t="str">
        <f aca="false">IF(A116="","",INT((A116-Settings!$B$2)/7)+1)</f>
        <v/>
      </c>
      <c r="C116" s="13"/>
      <c r="D116" s="13"/>
      <c r="E116" s="8"/>
      <c r="F116" s="8"/>
    </row>
    <row r="117" customFormat="false" ht="15" hidden="false" customHeight="false" outlineLevel="0" collapsed="false">
      <c r="A117" s="14"/>
      <c r="B117" s="15" t="str">
        <f aca="false">IF(A117="","",INT((A117-Settings!$B$2)/7)+1)</f>
        <v/>
      </c>
      <c r="C117" s="13"/>
      <c r="D117" s="13"/>
      <c r="E117" s="8"/>
      <c r="F117" s="8"/>
    </row>
    <row r="118" customFormat="false" ht="15" hidden="false" customHeight="false" outlineLevel="0" collapsed="false">
      <c r="A118" s="14"/>
      <c r="B118" s="15" t="str">
        <f aca="false">IF(A118="","",INT((A118-Settings!$B$2)/7)+1)</f>
        <v/>
      </c>
      <c r="C118" s="13"/>
      <c r="D118" s="13"/>
      <c r="E118" s="8"/>
      <c r="F118" s="8"/>
    </row>
    <row r="119" customFormat="false" ht="15" hidden="false" customHeight="false" outlineLevel="0" collapsed="false">
      <c r="A119" s="14"/>
      <c r="B119" s="15" t="str">
        <f aca="false">IF(A119="","",INT((A119-Settings!$B$2)/7)+1)</f>
        <v/>
      </c>
      <c r="C119" s="13"/>
      <c r="D119" s="13"/>
      <c r="E119" s="8"/>
      <c r="F119" s="8"/>
    </row>
    <row r="120" customFormat="false" ht="15" hidden="false" customHeight="false" outlineLevel="0" collapsed="false">
      <c r="A120" s="14"/>
      <c r="B120" s="15" t="str">
        <f aca="false">IF(A120="","",INT((A120-Settings!$B$2)/7)+1)</f>
        <v/>
      </c>
      <c r="C120" s="13"/>
      <c r="D120" s="13"/>
      <c r="E120" s="8"/>
      <c r="F120" s="8"/>
    </row>
    <row r="121" customFormat="false" ht="15" hidden="false" customHeight="false" outlineLevel="0" collapsed="false">
      <c r="A121" s="14"/>
      <c r="B121" s="15" t="str">
        <f aca="false">IF(A121="","",INT((A121-Settings!$B$2)/7)+1)</f>
        <v/>
      </c>
      <c r="C121" s="13"/>
      <c r="D121" s="13"/>
      <c r="E121" s="8"/>
      <c r="F121" s="8"/>
    </row>
    <row r="122" customFormat="false" ht="15" hidden="false" customHeight="false" outlineLevel="0" collapsed="false">
      <c r="A122" s="14"/>
      <c r="B122" s="15" t="str">
        <f aca="false">IF(A122="","",INT((A122-Settings!$B$2)/7)+1)</f>
        <v/>
      </c>
      <c r="C122" s="13"/>
      <c r="D122" s="13"/>
      <c r="E122" s="8"/>
      <c r="F122" s="8"/>
    </row>
    <row r="123" customFormat="false" ht="15" hidden="false" customHeight="false" outlineLevel="0" collapsed="false">
      <c r="A123" s="14"/>
      <c r="B123" s="15" t="str">
        <f aca="false">IF(A123="","",INT((A123-Settings!$B$2)/7)+1)</f>
        <v/>
      </c>
      <c r="C123" s="13"/>
      <c r="D123" s="13"/>
      <c r="E123" s="8"/>
      <c r="F123" s="8"/>
    </row>
    <row r="124" customFormat="false" ht="15" hidden="false" customHeight="false" outlineLevel="0" collapsed="false">
      <c r="A124" s="14"/>
      <c r="B124" s="15" t="str">
        <f aca="false">IF(A124="","",INT((A124-Settings!$B$2)/7)+1)</f>
        <v/>
      </c>
      <c r="C124" s="13"/>
      <c r="D124" s="13"/>
      <c r="E124" s="8"/>
      <c r="F124" s="8"/>
    </row>
    <row r="125" customFormat="false" ht="15" hidden="false" customHeight="false" outlineLevel="0" collapsed="false">
      <c r="A125" s="14"/>
      <c r="B125" s="15" t="str">
        <f aca="false">IF(A125="","",INT((A125-Settings!$B$2)/7)+1)</f>
        <v/>
      </c>
      <c r="C125" s="13"/>
      <c r="D125" s="13"/>
      <c r="E125" s="8"/>
      <c r="F125" s="8"/>
    </row>
    <row r="126" customFormat="false" ht="15" hidden="false" customHeight="false" outlineLevel="0" collapsed="false">
      <c r="A126" s="14"/>
      <c r="B126" s="15" t="str">
        <f aca="false">IF(A126="","",INT((A126-Settings!$B$2)/7)+1)</f>
        <v/>
      </c>
      <c r="C126" s="13"/>
      <c r="D126" s="13"/>
      <c r="E126" s="8"/>
      <c r="F126" s="8"/>
    </row>
    <row r="127" customFormat="false" ht="15" hidden="false" customHeight="false" outlineLevel="0" collapsed="false">
      <c r="A127" s="14"/>
      <c r="B127" s="15" t="str">
        <f aca="false">IF(A127="","",INT((A127-Settings!$B$2)/7)+1)</f>
        <v/>
      </c>
      <c r="C127" s="13"/>
      <c r="D127" s="13"/>
      <c r="E127" s="8"/>
      <c r="F127" s="8"/>
    </row>
    <row r="128" customFormat="false" ht="15" hidden="false" customHeight="false" outlineLevel="0" collapsed="false">
      <c r="A128" s="14"/>
      <c r="B128" s="15" t="str">
        <f aca="false">IF(A128="","",INT((A128-Settings!$B$2)/7)+1)</f>
        <v/>
      </c>
      <c r="C128" s="13"/>
      <c r="D128" s="13"/>
      <c r="E128" s="8"/>
      <c r="F128" s="8"/>
    </row>
    <row r="129" customFormat="false" ht="15" hidden="false" customHeight="false" outlineLevel="0" collapsed="false">
      <c r="A129" s="14"/>
      <c r="B129" s="15" t="str">
        <f aca="false">IF(A129="","",INT((A129-Settings!$B$2)/7)+1)</f>
        <v/>
      </c>
      <c r="C129" s="13"/>
      <c r="D129" s="13"/>
      <c r="E129" s="8"/>
      <c r="F129" s="8"/>
    </row>
    <row r="130" customFormat="false" ht="15" hidden="false" customHeight="false" outlineLevel="0" collapsed="false">
      <c r="A130" s="14"/>
      <c r="B130" s="15" t="str">
        <f aca="false">IF(A130="","",INT((A130-Settings!$B$2)/7)+1)</f>
        <v/>
      </c>
      <c r="C130" s="13"/>
      <c r="D130" s="13"/>
      <c r="E130" s="8"/>
      <c r="F130" s="8"/>
    </row>
    <row r="131" customFormat="false" ht="15" hidden="false" customHeight="false" outlineLevel="0" collapsed="false">
      <c r="A131" s="14"/>
      <c r="B131" s="15" t="str">
        <f aca="false">IF(A131="","",INT((A131-Settings!$B$2)/7)+1)</f>
        <v/>
      </c>
      <c r="C131" s="13"/>
      <c r="D131" s="13"/>
      <c r="E131" s="8"/>
      <c r="F131" s="8"/>
    </row>
    <row r="132" customFormat="false" ht="15" hidden="false" customHeight="false" outlineLevel="0" collapsed="false">
      <c r="A132" s="14"/>
      <c r="B132" s="15" t="str">
        <f aca="false">IF(A132="","",INT((A132-Settings!$B$2)/7)+1)</f>
        <v/>
      </c>
      <c r="C132" s="13"/>
      <c r="D132" s="13"/>
      <c r="E132" s="8"/>
      <c r="F132" s="8"/>
    </row>
    <row r="133" customFormat="false" ht="15" hidden="false" customHeight="false" outlineLevel="0" collapsed="false">
      <c r="A133" s="14"/>
      <c r="B133" s="15" t="str">
        <f aca="false">IF(A133="","",INT((A133-Settings!$B$2)/7)+1)</f>
        <v/>
      </c>
      <c r="C133" s="13"/>
      <c r="D133" s="13"/>
      <c r="E133" s="8"/>
      <c r="F133" s="8"/>
    </row>
    <row r="134" customFormat="false" ht="15" hidden="false" customHeight="false" outlineLevel="0" collapsed="false">
      <c r="A134" s="14"/>
      <c r="B134" s="15" t="str">
        <f aca="false">IF(A134="","",INT((A134-Settings!$B$2)/7)+1)</f>
        <v/>
      </c>
      <c r="C134" s="13"/>
      <c r="D134" s="13"/>
      <c r="E134" s="8"/>
      <c r="F134" s="8"/>
    </row>
    <row r="135" customFormat="false" ht="15" hidden="false" customHeight="false" outlineLevel="0" collapsed="false">
      <c r="A135" s="14"/>
      <c r="B135" s="15" t="str">
        <f aca="false">IF(A135="","",INT((A135-Settings!$B$2)/7)+1)</f>
        <v/>
      </c>
      <c r="C135" s="13"/>
      <c r="D135" s="13"/>
      <c r="E135" s="8"/>
      <c r="F135" s="8"/>
    </row>
    <row r="136" customFormat="false" ht="15" hidden="false" customHeight="false" outlineLevel="0" collapsed="false">
      <c r="A136" s="14"/>
      <c r="B136" s="15" t="str">
        <f aca="false">IF(A136="","",INT((A136-Settings!$B$2)/7)+1)</f>
        <v/>
      </c>
      <c r="C136" s="13"/>
      <c r="D136" s="13"/>
      <c r="E136" s="8"/>
      <c r="F136" s="8"/>
    </row>
    <row r="137" customFormat="false" ht="15" hidden="false" customHeight="false" outlineLevel="0" collapsed="false">
      <c r="A137" s="14"/>
      <c r="B137" s="15" t="str">
        <f aca="false">IF(A137="","",INT((A137-Settings!$B$2)/7)+1)</f>
        <v/>
      </c>
      <c r="C137" s="13"/>
      <c r="D137" s="13"/>
      <c r="E137" s="8"/>
      <c r="F137" s="8"/>
    </row>
    <row r="138" customFormat="false" ht="15" hidden="false" customHeight="false" outlineLevel="0" collapsed="false">
      <c r="A138" s="14"/>
      <c r="B138" s="15" t="str">
        <f aca="false">IF(A138="","",INT((A138-Settings!$B$2)/7)+1)</f>
        <v/>
      </c>
      <c r="C138" s="13"/>
      <c r="D138" s="13"/>
      <c r="E138" s="8"/>
      <c r="F138" s="8"/>
    </row>
    <row r="139" customFormat="false" ht="15" hidden="false" customHeight="false" outlineLevel="0" collapsed="false">
      <c r="A139" s="14"/>
      <c r="B139" s="15" t="str">
        <f aca="false">IF(A139="","",INT((A139-Settings!$B$2)/7)+1)</f>
        <v/>
      </c>
      <c r="C139" s="13"/>
      <c r="D139" s="13"/>
      <c r="E139" s="8"/>
      <c r="F139" s="8"/>
    </row>
    <row r="140" customFormat="false" ht="15" hidden="false" customHeight="false" outlineLevel="0" collapsed="false">
      <c r="A140" s="14"/>
      <c r="B140" s="15" t="str">
        <f aca="false">IF(A140="","",INT((A140-Settings!$B$2)/7)+1)</f>
        <v/>
      </c>
      <c r="C140" s="13"/>
      <c r="D140" s="13"/>
      <c r="E140" s="8"/>
      <c r="F140" s="8"/>
    </row>
    <row r="141" customFormat="false" ht="15" hidden="false" customHeight="false" outlineLevel="0" collapsed="false">
      <c r="A141" s="14"/>
      <c r="B141" s="15" t="str">
        <f aca="false">IF(A141="","",INT((A141-Settings!$B$2)/7)+1)</f>
        <v/>
      </c>
      <c r="C141" s="13"/>
      <c r="D141" s="13"/>
      <c r="E141" s="8"/>
      <c r="F141" s="8"/>
    </row>
    <row r="142" customFormat="false" ht="15" hidden="false" customHeight="false" outlineLevel="0" collapsed="false">
      <c r="A142" s="14"/>
      <c r="B142" s="15" t="str">
        <f aca="false">IF(A142="","",INT((A142-Settings!$B$2)/7)+1)</f>
        <v/>
      </c>
      <c r="C142" s="13"/>
      <c r="D142" s="13"/>
      <c r="E142" s="8"/>
      <c r="F142" s="8"/>
    </row>
    <row r="143" customFormat="false" ht="15" hidden="false" customHeight="false" outlineLevel="0" collapsed="false">
      <c r="A143" s="14"/>
      <c r="B143" s="15" t="str">
        <f aca="false">IF(A143="","",INT((A143-Settings!$B$2)/7)+1)</f>
        <v/>
      </c>
      <c r="C143" s="13"/>
      <c r="D143" s="13"/>
      <c r="E143" s="8"/>
      <c r="F143" s="8"/>
    </row>
    <row r="144" customFormat="false" ht="15" hidden="false" customHeight="false" outlineLevel="0" collapsed="false">
      <c r="A144" s="14"/>
      <c r="B144" s="15" t="str">
        <f aca="false">IF(A144="","",INT((A144-Settings!$B$2)/7)+1)</f>
        <v/>
      </c>
      <c r="C144" s="13"/>
      <c r="D144" s="13"/>
      <c r="E144" s="8"/>
      <c r="F144" s="8"/>
    </row>
    <row r="145" customFormat="false" ht="15" hidden="false" customHeight="false" outlineLevel="0" collapsed="false">
      <c r="A145" s="14"/>
      <c r="B145" s="15" t="str">
        <f aca="false">IF(A145="","",INT((A145-Settings!$B$2)/7)+1)</f>
        <v/>
      </c>
      <c r="C145" s="13"/>
      <c r="D145" s="13"/>
      <c r="E145" s="8"/>
      <c r="F145" s="8"/>
    </row>
    <row r="146" customFormat="false" ht="15" hidden="false" customHeight="false" outlineLevel="0" collapsed="false">
      <c r="A146" s="14"/>
      <c r="B146" s="15" t="str">
        <f aca="false">IF(A146="","",INT((A146-Settings!$B$2)/7)+1)</f>
        <v/>
      </c>
      <c r="C146" s="13"/>
      <c r="D146" s="13"/>
      <c r="E146" s="8"/>
      <c r="F146" s="8"/>
    </row>
    <row r="147" customFormat="false" ht="15" hidden="false" customHeight="false" outlineLevel="0" collapsed="false">
      <c r="A147" s="14"/>
      <c r="B147" s="15" t="str">
        <f aca="false">IF(A147="","",INT((A147-Settings!$B$2)/7)+1)</f>
        <v/>
      </c>
      <c r="C147" s="13"/>
      <c r="D147" s="13"/>
      <c r="E147" s="8"/>
      <c r="F147" s="8"/>
    </row>
    <row r="148" customFormat="false" ht="15" hidden="false" customHeight="false" outlineLevel="0" collapsed="false">
      <c r="A148" s="14"/>
      <c r="B148" s="15" t="str">
        <f aca="false">IF(A148="","",INT((A148-Settings!$B$2)/7)+1)</f>
        <v/>
      </c>
      <c r="C148" s="13"/>
      <c r="D148" s="13"/>
      <c r="E148" s="8"/>
      <c r="F148" s="8"/>
    </row>
    <row r="149" customFormat="false" ht="15" hidden="false" customHeight="false" outlineLevel="0" collapsed="false">
      <c r="A149" s="14"/>
      <c r="B149" s="15" t="str">
        <f aca="false">IF(A149="","",INT((A149-Settings!$B$2)/7)+1)</f>
        <v/>
      </c>
      <c r="C149" s="13"/>
      <c r="D149" s="13"/>
      <c r="E149" s="8"/>
      <c r="F149" s="8"/>
    </row>
    <row r="150" customFormat="false" ht="15" hidden="false" customHeight="false" outlineLevel="0" collapsed="false">
      <c r="A150" s="14"/>
      <c r="B150" s="15" t="str">
        <f aca="false">IF(A150="","",INT((A150-Settings!$B$2)/7)+1)</f>
        <v/>
      </c>
      <c r="C150" s="13"/>
      <c r="D150" s="13"/>
      <c r="E150" s="8"/>
      <c r="F150" s="8"/>
    </row>
    <row r="151" customFormat="false" ht="15" hidden="false" customHeight="false" outlineLevel="0" collapsed="false">
      <c r="A151" s="14"/>
      <c r="B151" s="15" t="str">
        <f aca="false">IF(A151="","",INT((A151-Settings!$B$2)/7)+1)</f>
        <v/>
      </c>
      <c r="C151" s="13"/>
      <c r="D151" s="13"/>
      <c r="E151" s="8"/>
      <c r="F151" s="8"/>
    </row>
    <row r="152" customFormat="false" ht="15" hidden="false" customHeight="false" outlineLevel="0" collapsed="false">
      <c r="A152" s="14"/>
      <c r="B152" s="15" t="str">
        <f aca="false">IF(A152="","",INT((A152-Settings!$B$2)/7)+1)</f>
        <v/>
      </c>
      <c r="C152" s="13"/>
      <c r="D152" s="13"/>
      <c r="E152" s="8"/>
      <c r="F152" s="8"/>
    </row>
    <row r="153" customFormat="false" ht="15" hidden="false" customHeight="false" outlineLevel="0" collapsed="false">
      <c r="A153" s="14"/>
      <c r="B153" s="15" t="str">
        <f aca="false">IF(A153="","",INT((A153-Settings!$B$2)/7)+1)</f>
        <v/>
      </c>
      <c r="C153" s="13"/>
      <c r="D153" s="13"/>
      <c r="E153" s="8"/>
      <c r="F153" s="8"/>
    </row>
    <row r="154" customFormat="false" ht="15" hidden="false" customHeight="false" outlineLevel="0" collapsed="false">
      <c r="A154" s="14"/>
      <c r="B154" s="15" t="str">
        <f aca="false">IF(A154="","",INT((A154-Settings!$B$2)/7)+1)</f>
        <v/>
      </c>
      <c r="C154" s="13"/>
      <c r="D154" s="13"/>
      <c r="E154" s="8"/>
      <c r="F154" s="8"/>
    </row>
    <row r="155" customFormat="false" ht="15" hidden="false" customHeight="false" outlineLevel="0" collapsed="false">
      <c r="A155" s="14"/>
      <c r="B155" s="15" t="str">
        <f aca="false">IF(A155="","",INT((A155-Settings!$B$2)/7)+1)</f>
        <v/>
      </c>
      <c r="C155" s="13"/>
      <c r="D155" s="13"/>
      <c r="E155" s="8"/>
      <c r="F155" s="8"/>
    </row>
    <row r="156" customFormat="false" ht="15" hidden="false" customHeight="false" outlineLevel="0" collapsed="false">
      <c r="A156" s="14"/>
      <c r="B156" s="15" t="str">
        <f aca="false">IF(A156="","",INT((A156-Settings!$B$2)/7)+1)</f>
        <v/>
      </c>
      <c r="C156" s="13"/>
      <c r="D156" s="13"/>
      <c r="E156" s="8"/>
      <c r="F156" s="8"/>
    </row>
    <row r="157" customFormat="false" ht="15" hidden="false" customHeight="false" outlineLevel="0" collapsed="false">
      <c r="A157" s="14"/>
      <c r="B157" s="15" t="str">
        <f aca="false">IF(A157="","",INT((A157-Settings!$B$2)/7)+1)</f>
        <v/>
      </c>
      <c r="C157" s="13"/>
      <c r="D157" s="13"/>
      <c r="E157" s="8"/>
      <c r="F157" s="8"/>
    </row>
    <row r="158" customFormat="false" ht="15" hidden="false" customHeight="false" outlineLevel="0" collapsed="false">
      <c r="A158" s="14"/>
      <c r="B158" s="15" t="str">
        <f aca="false">IF(A158="","",INT((A158-Settings!$B$2)/7)+1)</f>
        <v/>
      </c>
      <c r="C158" s="13"/>
      <c r="D158" s="13"/>
      <c r="E158" s="8"/>
      <c r="F158" s="8"/>
    </row>
    <row r="159" customFormat="false" ht="15" hidden="false" customHeight="false" outlineLevel="0" collapsed="false">
      <c r="A159" s="14"/>
      <c r="B159" s="15" t="str">
        <f aca="false">IF(A159="","",INT((A159-Settings!$B$2)/7)+1)</f>
        <v/>
      </c>
      <c r="C159" s="13"/>
      <c r="D159" s="13"/>
      <c r="E159" s="8"/>
      <c r="F159" s="8"/>
    </row>
    <row r="160" customFormat="false" ht="15" hidden="false" customHeight="false" outlineLevel="0" collapsed="false">
      <c r="A160" s="14"/>
      <c r="B160" s="15" t="str">
        <f aca="false">IF(A160="","",INT((A160-Settings!$B$2)/7)+1)</f>
        <v/>
      </c>
      <c r="C160" s="13"/>
      <c r="D160" s="13"/>
      <c r="E160" s="8"/>
      <c r="F160" s="8"/>
    </row>
    <row r="161" customFormat="false" ht="15" hidden="false" customHeight="false" outlineLevel="0" collapsed="false">
      <c r="A161" s="14"/>
      <c r="B161" s="15" t="str">
        <f aca="false">IF(A161="","",INT((A161-Settings!$B$2)/7)+1)</f>
        <v/>
      </c>
      <c r="C161" s="13"/>
      <c r="D161" s="13"/>
      <c r="E161" s="8"/>
      <c r="F161" s="8"/>
    </row>
    <row r="162" customFormat="false" ht="15" hidden="false" customHeight="false" outlineLevel="0" collapsed="false">
      <c r="A162" s="14"/>
      <c r="B162" s="15" t="str">
        <f aca="false">IF(A162="","",INT((A162-Settings!$B$2)/7)+1)</f>
        <v/>
      </c>
      <c r="C162" s="13"/>
      <c r="D162" s="13"/>
      <c r="E162" s="8"/>
      <c r="F162" s="8"/>
    </row>
    <row r="163" customFormat="false" ht="15" hidden="false" customHeight="false" outlineLevel="0" collapsed="false">
      <c r="A163" s="14"/>
      <c r="B163" s="15" t="str">
        <f aca="false">IF(A163="","",INT((A163-Settings!$B$2)/7)+1)</f>
        <v/>
      </c>
      <c r="C163" s="13"/>
      <c r="D163" s="13"/>
      <c r="E163" s="8"/>
      <c r="F163" s="8"/>
    </row>
    <row r="164" customFormat="false" ht="15" hidden="false" customHeight="false" outlineLevel="0" collapsed="false">
      <c r="A164" s="14"/>
      <c r="B164" s="15" t="str">
        <f aca="false">IF(A164="","",INT((A164-Settings!$B$2)/7)+1)</f>
        <v/>
      </c>
      <c r="C164" s="13"/>
      <c r="D164" s="13"/>
      <c r="E164" s="8"/>
      <c r="F164" s="8"/>
    </row>
    <row r="165" customFormat="false" ht="15" hidden="false" customHeight="false" outlineLevel="0" collapsed="false">
      <c r="A165" s="14"/>
      <c r="B165" s="15" t="str">
        <f aca="false">IF(A165="","",INT((A165-Settings!$B$2)/7)+1)</f>
        <v/>
      </c>
      <c r="C165" s="13"/>
      <c r="D165" s="13"/>
      <c r="E165" s="8"/>
      <c r="F165" s="8"/>
    </row>
    <row r="166" customFormat="false" ht="15" hidden="false" customHeight="false" outlineLevel="0" collapsed="false">
      <c r="A166" s="14"/>
      <c r="B166" s="15" t="str">
        <f aca="false">IF(A166="","",INT((A166-Settings!$B$2)/7)+1)</f>
        <v/>
      </c>
      <c r="C166" s="13"/>
      <c r="D166" s="13"/>
      <c r="E166" s="8"/>
      <c r="F166" s="8"/>
    </row>
    <row r="167" customFormat="false" ht="15" hidden="false" customHeight="false" outlineLevel="0" collapsed="false">
      <c r="A167" s="14"/>
      <c r="B167" s="15" t="str">
        <f aca="false">IF(A167="","",INT((A167-Settings!$B$2)/7)+1)</f>
        <v/>
      </c>
      <c r="C167" s="13"/>
      <c r="D167" s="13"/>
      <c r="E167" s="8"/>
      <c r="F167" s="8"/>
    </row>
    <row r="168" customFormat="false" ht="15" hidden="false" customHeight="false" outlineLevel="0" collapsed="false">
      <c r="A168" s="14"/>
      <c r="B168" s="15" t="str">
        <f aca="false">IF(A168="","",INT((A168-Settings!$B$2)/7)+1)</f>
        <v/>
      </c>
      <c r="C168" s="13"/>
      <c r="D168" s="13"/>
      <c r="E168" s="8"/>
      <c r="F168" s="8"/>
    </row>
    <row r="169" customFormat="false" ht="15" hidden="false" customHeight="false" outlineLevel="0" collapsed="false">
      <c r="A169" s="14"/>
      <c r="B169" s="15" t="str">
        <f aca="false">IF(A169="","",INT((A169-Settings!$B$2)/7)+1)</f>
        <v/>
      </c>
      <c r="C169" s="13"/>
      <c r="D169" s="13"/>
      <c r="E169" s="8"/>
      <c r="F169" s="8"/>
    </row>
    <row r="170" customFormat="false" ht="15" hidden="false" customHeight="false" outlineLevel="0" collapsed="false">
      <c r="A170" s="14"/>
      <c r="B170" s="15" t="str">
        <f aca="false">IF(A170="","",INT((A170-Settings!$B$2)/7)+1)</f>
        <v/>
      </c>
      <c r="C170" s="13"/>
      <c r="D170" s="13"/>
      <c r="E170" s="8"/>
      <c r="F170" s="8"/>
    </row>
    <row r="171" customFormat="false" ht="15" hidden="false" customHeight="false" outlineLevel="0" collapsed="false">
      <c r="A171" s="14"/>
      <c r="B171" s="15" t="str">
        <f aca="false">IF(A171="","",INT((A171-Settings!$B$2)/7)+1)</f>
        <v/>
      </c>
      <c r="C171" s="13"/>
      <c r="D171" s="13"/>
      <c r="E171" s="8"/>
      <c r="F171" s="8"/>
    </row>
    <row r="172" customFormat="false" ht="15" hidden="false" customHeight="false" outlineLevel="0" collapsed="false">
      <c r="A172" s="14"/>
      <c r="B172" s="15" t="str">
        <f aca="false">IF(A172="","",INT((A172-Settings!$B$2)/7)+1)</f>
        <v/>
      </c>
      <c r="C172" s="13"/>
      <c r="D172" s="13"/>
      <c r="E172" s="8"/>
      <c r="F172" s="8"/>
    </row>
    <row r="173" customFormat="false" ht="15" hidden="false" customHeight="false" outlineLevel="0" collapsed="false">
      <c r="A173" s="14"/>
      <c r="B173" s="15" t="str">
        <f aca="false">IF(A173="","",INT((A173-Settings!$B$2)/7)+1)</f>
        <v/>
      </c>
      <c r="C173" s="13"/>
      <c r="D173" s="13"/>
      <c r="E173" s="8"/>
      <c r="F173" s="8"/>
    </row>
    <row r="174" customFormat="false" ht="15" hidden="false" customHeight="false" outlineLevel="0" collapsed="false">
      <c r="A174" s="14"/>
      <c r="B174" s="15" t="str">
        <f aca="false">IF(A174="","",INT((A174-Settings!$B$2)/7)+1)</f>
        <v/>
      </c>
      <c r="C174" s="13"/>
      <c r="D174" s="13"/>
      <c r="E174" s="8"/>
      <c r="F174" s="8"/>
    </row>
    <row r="175" customFormat="false" ht="15" hidden="false" customHeight="false" outlineLevel="0" collapsed="false">
      <c r="A175" s="14"/>
      <c r="B175" s="15" t="str">
        <f aca="false">IF(A175="","",INT((A175-Settings!$B$2)/7)+1)</f>
        <v/>
      </c>
      <c r="C175" s="13"/>
      <c r="D175" s="13"/>
      <c r="E175" s="8"/>
      <c r="F175" s="8"/>
    </row>
    <row r="176" customFormat="false" ht="15" hidden="false" customHeight="false" outlineLevel="0" collapsed="false">
      <c r="A176" s="14"/>
      <c r="B176" s="15" t="str">
        <f aca="false">IF(A176="","",INT((A176-Settings!$B$2)/7)+1)</f>
        <v/>
      </c>
      <c r="C176" s="13"/>
      <c r="D176" s="13"/>
      <c r="E176" s="8"/>
      <c r="F176" s="8"/>
    </row>
    <row r="177" customFormat="false" ht="15" hidden="false" customHeight="false" outlineLevel="0" collapsed="false">
      <c r="A177" s="14"/>
      <c r="B177" s="15" t="str">
        <f aca="false">IF(A177="","",INT((A177-Settings!$B$2)/7)+1)</f>
        <v/>
      </c>
      <c r="C177" s="13"/>
      <c r="D177" s="13"/>
      <c r="E177" s="8"/>
      <c r="F177" s="8"/>
    </row>
    <row r="178" customFormat="false" ht="15" hidden="false" customHeight="false" outlineLevel="0" collapsed="false">
      <c r="A178" s="14"/>
      <c r="B178" s="15" t="str">
        <f aca="false">IF(A178="","",INT((A178-Settings!$B$2)/7)+1)</f>
        <v/>
      </c>
      <c r="C178" s="13"/>
      <c r="D178" s="13"/>
      <c r="E178" s="8"/>
      <c r="F178" s="8"/>
    </row>
    <row r="179" customFormat="false" ht="15" hidden="false" customHeight="false" outlineLevel="0" collapsed="false">
      <c r="A179" s="14"/>
      <c r="B179" s="15" t="str">
        <f aca="false">IF(A179="","",INT((A179-Settings!$B$2)/7)+1)</f>
        <v/>
      </c>
      <c r="C179" s="13"/>
      <c r="D179" s="13"/>
      <c r="E179" s="8"/>
      <c r="F179" s="8"/>
    </row>
    <row r="180" customFormat="false" ht="15" hidden="false" customHeight="false" outlineLevel="0" collapsed="false">
      <c r="A180" s="14"/>
      <c r="B180" s="15" t="str">
        <f aca="false">IF(A180="","",INT((A180-Settings!$B$2)/7)+1)</f>
        <v/>
      </c>
      <c r="C180" s="13"/>
      <c r="D180" s="13"/>
      <c r="E180" s="8"/>
      <c r="F180" s="8"/>
    </row>
    <row r="181" customFormat="false" ht="15" hidden="false" customHeight="false" outlineLevel="0" collapsed="false">
      <c r="A181" s="14"/>
      <c r="B181" s="15" t="str">
        <f aca="false">IF(A181="","",INT((A181-Settings!$B$2)/7)+1)</f>
        <v/>
      </c>
      <c r="C181" s="13"/>
      <c r="D181" s="13"/>
      <c r="E181" s="8"/>
      <c r="F181" s="8"/>
    </row>
    <row r="182" customFormat="false" ht="15" hidden="false" customHeight="false" outlineLevel="0" collapsed="false">
      <c r="A182" s="14"/>
      <c r="B182" s="15" t="str">
        <f aca="false">IF(A182="","",INT((A182-Settings!$B$2)/7)+1)</f>
        <v/>
      </c>
      <c r="C182" s="13"/>
      <c r="D182" s="13"/>
      <c r="E182" s="8"/>
      <c r="F182" s="8"/>
    </row>
    <row r="183" customFormat="false" ht="15" hidden="false" customHeight="false" outlineLevel="0" collapsed="false">
      <c r="A183" s="14"/>
      <c r="B183" s="15" t="str">
        <f aca="false">IF(A183="","",INT((A183-Settings!$B$2)/7)+1)</f>
        <v/>
      </c>
      <c r="C183" s="13"/>
      <c r="D183" s="13"/>
      <c r="E183" s="8"/>
      <c r="F183" s="8"/>
    </row>
    <row r="184" customFormat="false" ht="15" hidden="false" customHeight="false" outlineLevel="0" collapsed="false">
      <c r="A184" s="14"/>
      <c r="B184" s="15" t="str">
        <f aca="false">IF(A184="","",INT((A184-Settings!$B$2)/7)+1)</f>
        <v/>
      </c>
      <c r="C184" s="13"/>
      <c r="D184" s="13"/>
      <c r="E184" s="8"/>
      <c r="F184" s="8"/>
    </row>
    <row r="185" customFormat="false" ht="15" hidden="false" customHeight="false" outlineLevel="0" collapsed="false">
      <c r="A185" s="14"/>
      <c r="B185" s="15" t="str">
        <f aca="false">IF(A185="","",INT((A185-Settings!$B$2)/7)+1)</f>
        <v/>
      </c>
      <c r="C185" s="13"/>
      <c r="D185" s="13"/>
      <c r="E185" s="8"/>
      <c r="F185" s="8"/>
    </row>
    <row r="186" customFormat="false" ht="15" hidden="false" customHeight="false" outlineLevel="0" collapsed="false">
      <c r="A186" s="14"/>
      <c r="B186" s="15" t="str">
        <f aca="false">IF(A186="","",INT((A186-Settings!$B$2)/7)+1)</f>
        <v/>
      </c>
      <c r="C186" s="13"/>
      <c r="D186" s="13"/>
      <c r="E186" s="8"/>
      <c r="F186" s="8"/>
    </row>
    <row r="187" customFormat="false" ht="15" hidden="false" customHeight="false" outlineLevel="0" collapsed="false">
      <c r="A187" s="14"/>
      <c r="B187" s="15" t="str">
        <f aca="false">IF(A187="","",INT((A187-Settings!$B$2)/7)+1)</f>
        <v/>
      </c>
      <c r="C187" s="13"/>
      <c r="D187" s="13"/>
      <c r="E187" s="8"/>
      <c r="F187" s="8"/>
    </row>
    <row r="188" customFormat="false" ht="15" hidden="false" customHeight="false" outlineLevel="0" collapsed="false">
      <c r="A188" s="14"/>
      <c r="B188" s="15" t="str">
        <f aca="false">IF(A188="","",INT((A188-Settings!$B$2)/7)+1)</f>
        <v/>
      </c>
      <c r="C188" s="13"/>
      <c r="D188" s="13"/>
      <c r="E188" s="8"/>
      <c r="F188" s="8"/>
    </row>
    <row r="189" customFormat="false" ht="15" hidden="false" customHeight="false" outlineLevel="0" collapsed="false">
      <c r="A189" s="14"/>
      <c r="B189" s="15" t="str">
        <f aca="false">IF(A189="","",INT((A189-Settings!$B$2)/7)+1)</f>
        <v/>
      </c>
      <c r="C189" s="13"/>
      <c r="D189" s="13"/>
      <c r="E189" s="8"/>
      <c r="F189" s="8"/>
    </row>
    <row r="190" customFormat="false" ht="15" hidden="false" customHeight="false" outlineLevel="0" collapsed="false">
      <c r="A190" s="14"/>
      <c r="B190" s="15" t="str">
        <f aca="false">IF(A190="","",INT((A190-Settings!$B$2)/7)+1)</f>
        <v/>
      </c>
      <c r="C190" s="13"/>
      <c r="D190" s="13"/>
      <c r="E190" s="8"/>
      <c r="F190" s="8"/>
    </row>
    <row r="191" customFormat="false" ht="15" hidden="false" customHeight="false" outlineLevel="0" collapsed="false">
      <c r="A191" s="14"/>
      <c r="B191" s="15" t="str">
        <f aca="false">IF(A191="","",INT((A191-Settings!$B$2)/7)+1)</f>
        <v/>
      </c>
      <c r="C191" s="13"/>
      <c r="D191" s="13"/>
      <c r="E191" s="8"/>
      <c r="F191" s="8"/>
    </row>
    <row r="192" customFormat="false" ht="15" hidden="false" customHeight="false" outlineLevel="0" collapsed="false">
      <c r="A192" s="14"/>
      <c r="B192" s="15" t="str">
        <f aca="false">IF(A192="","",INT((A192-Settings!$B$2)/7)+1)</f>
        <v/>
      </c>
      <c r="C192" s="13"/>
      <c r="D192" s="13"/>
      <c r="E192" s="8"/>
      <c r="F192" s="8"/>
    </row>
    <row r="193" customFormat="false" ht="15" hidden="false" customHeight="false" outlineLevel="0" collapsed="false">
      <c r="A193" s="14"/>
      <c r="B193" s="15" t="str">
        <f aca="false">IF(A193="","",INT((A193-Settings!$B$2)/7)+1)</f>
        <v/>
      </c>
      <c r="C193" s="13"/>
      <c r="D193" s="13"/>
      <c r="E193" s="8"/>
      <c r="F193" s="8"/>
    </row>
    <row r="194" customFormat="false" ht="15" hidden="false" customHeight="false" outlineLevel="0" collapsed="false">
      <c r="A194" s="14"/>
      <c r="B194" s="15" t="str">
        <f aca="false">IF(A194="","",INT((A194-Settings!$B$2)/7)+1)</f>
        <v/>
      </c>
      <c r="C194" s="13"/>
      <c r="D194" s="13"/>
      <c r="E194" s="8"/>
      <c r="F194" s="8"/>
    </row>
    <row r="195" customFormat="false" ht="15" hidden="false" customHeight="false" outlineLevel="0" collapsed="false">
      <c r="A195" s="14"/>
      <c r="B195" s="15" t="str">
        <f aca="false">IF(A195="","",INT((A195-Settings!$B$2)/7)+1)</f>
        <v/>
      </c>
      <c r="C195" s="13"/>
      <c r="D195" s="13"/>
      <c r="E195" s="8"/>
      <c r="F195" s="8"/>
    </row>
    <row r="196" customFormat="false" ht="15" hidden="false" customHeight="false" outlineLevel="0" collapsed="false">
      <c r="A196" s="14"/>
      <c r="B196" s="15" t="str">
        <f aca="false">IF(A196="","",INT((A196-Settings!$B$2)/7)+1)</f>
        <v/>
      </c>
      <c r="C196" s="13"/>
      <c r="D196" s="13"/>
      <c r="E196" s="8"/>
      <c r="F196" s="8"/>
    </row>
    <row r="197" customFormat="false" ht="15" hidden="false" customHeight="false" outlineLevel="0" collapsed="false">
      <c r="A197" s="14"/>
      <c r="B197" s="15" t="str">
        <f aca="false">IF(A197="","",INT((A197-Settings!$B$2)/7)+1)</f>
        <v/>
      </c>
      <c r="C197" s="13"/>
      <c r="D197" s="13"/>
      <c r="E197" s="8"/>
      <c r="F197" s="8"/>
    </row>
    <row r="198" customFormat="false" ht="15" hidden="false" customHeight="false" outlineLevel="0" collapsed="false">
      <c r="A198" s="14"/>
      <c r="B198" s="15" t="str">
        <f aca="false">IF(A198="","",INT((A198-Settings!$B$2)/7)+1)</f>
        <v/>
      </c>
      <c r="C198" s="13"/>
      <c r="D198" s="13"/>
      <c r="E198" s="8"/>
      <c r="F198" s="8"/>
    </row>
    <row r="199" customFormat="false" ht="15" hidden="false" customHeight="false" outlineLevel="0" collapsed="false">
      <c r="A199" s="14"/>
      <c r="B199" s="15" t="str">
        <f aca="false">IF(A199="","",INT((A199-Settings!$B$2)/7)+1)</f>
        <v/>
      </c>
      <c r="C199" s="13"/>
      <c r="D199" s="13"/>
      <c r="E199" s="8"/>
      <c r="F199" s="8"/>
    </row>
    <row r="200" customFormat="false" ht="15" hidden="false" customHeight="false" outlineLevel="0" collapsed="false">
      <c r="A200" s="14"/>
      <c r="B200" s="15" t="str">
        <f aca="false">IF(A200="","",INT((A200-Settings!$B$2)/7)+1)</f>
        <v/>
      </c>
      <c r="C200" s="13"/>
      <c r="D200" s="13"/>
      <c r="E200" s="8"/>
      <c r="F200" s="8"/>
    </row>
    <row r="201" customFormat="false" ht="15" hidden="false" customHeight="false" outlineLevel="0" collapsed="false">
      <c r="A201" s="14"/>
      <c r="B201" s="15" t="str">
        <f aca="false">IF(A201="","",INT((A201-Settings!$B$2)/7)+1)</f>
        <v/>
      </c>
      <c r="C201" s="13"/>
      <c r="D201" s="13"/>
      <c r="E201" s="8"/>
      <c r="F201" s="8"/>
    </row>
    <row r="202" customFormat="false" ht="15" hidden="false" customHeight="false" outlineLevel="0" collapsed="false">
      <c r="A202" s="14"/>
      <c r="B202" s="15" t="str">
        <f aca="false">IF(A202="","",INT((A202-Settings!$B$2)/7)+1)</f>
        <v/>
      </c>
      <c r="C202" s="13"/>
      <c r="D202" s="13"/>
      <c r="E202" s="8"/>
      <c r="F202" s="8"/>
    </row>
    <row r="203" customFormat="false" ht="15" hidden="false" customHeight="false" outlineLevel="0" collapsed="false">
      <c r="A203" s="14"/>
      <c r="B203" s="15" t="str">
        <f aca="false">IF(A203="","",INT((A203-Settings!$B$2)/7)+1)</f>
        <v/>
      </c>
      <c r="C203" s="13"/>
      <c r="D203" s="13"/>
      <c r="E203" s="8"/>
      <c r="F203" s="8"/>
    </row>
    <row r="204" customFormat="false" ht="15" hidden="false" customHeight="false" outlineLevel="0" collapsed="false">
      <c r="A204" s="14"/>
      <c r="B204" s="15" t="str">
        <f aca="false">IF(A204="","",INT((A204-Settings!$B$2)/7)+1)</f>
        <v/>
      </c>
      <c r="C204" s="13"/>
      <c r="D204" s="13"/>
      <c r="E204" s="8"/>
      <c r="F204" s="8"/>
    </row>
    <row r="205" customFormat="false" ht="15" hidden="false" customHeight="false" outlineLevel="0" collapsed="false">
      <c r="A205" s="14"/>
      <c r="B205" s="15" t="str">
        <f aca="false">IF(A205="","",INT((A205-Settings!$B$2)/7)+1)</f>
        <v/>
      </c>
      <c r="C205" s="13"/>
      <c r="D205" s="13"/>
      <c r="E205" s="8"/>
      <c r="F205" s="8"/>
    </row>
    <row r="206" customFormat="false" ht="15" hidden="false" customHeight="false" outlineLevel="0" collapsed="false">
      <c r="A206" s="14"/>
      <c r="B206" s="15" t="str">
        <f aca="false">IF(A206="","",INT((A206-Settings!$B$2)/7)+1)</f>
        <v/>
      </c>
      <c r="C206" s="13"/>
      <c r="D206" s="13"/>
      <c r="E206" s="8"/>
      <c r="F206" s="8"/>
    </row>
    <row r="207" customFormat="false" ht="15" hidden="false" customHeight="false" outlineLevel="0" collapsed="false">
      <c r="A207" s="14"/>
      <c r="B207" s="15" t="str">
        <f aca="false">IF(A207="","",INT((A207-Settings!$B$2)/7)+1)</f>
        <v/>
      </c>
      <c r="C207" s="13"/>
      <c r="D207" s="13"/>
      <c r="E207" s="8"/>
      <c r="F207" s="8"/>
    </row>
    <row r="208" customFormat="false" ht="15" hidden="false" customHeight="false" outlineLevel="0" collapsed="false">
      <c r="A208" s="14"/>
      <c r="B208" s="15" t="str">
        <f aca="false">IF(A208="","",INT((A208-Settings!$B$2)/7)+1)</f>
        <v/>
      </c>
      <c r="C208" s="13"/>
      <c r="D208" s="13"/>
      <c r="E208" s="8"/>
      <c r="F208" s="8"/>
    </row>
    <row r="209" customFormat="false" ht="15" hidden="false" customHeight="false" outlineLevel="0" collapsed="false">
      <c r="A209" s="14"/>
      <c r="B209" s="15" t="str">
        <f aca="false">IF(A209="","",INT((A209-Settings!$B$2)/7)+1)</f>
        <v/>
      </c>
      <c r="C209" s="13"/>
      <c r="D209" s="13"/>
      <c r="E209" s="8"/>
      <c r="F209" s="8"/>
    </row>
    <row r="210" customFormat="false" ht="15" hidden="false" customHeight="false" outlineLevel="0" collapsed="false">
      <c r="A210" s="14"/>
      <c r="B210" s="15" t="str">
        <f aca="false">IF(A210="","",INT((A210-Settings!$B$2)/7)+1)</f>
        <v/>
      </c>
      <c r="C210" s="13"/>
      <c r="D210" s="13"/>
      <c r="E210" s="8"/>
      <c r="F210" s="8"/>
    </row>
    <row r="211" customFormat="false" ht="15" hidden="false" customHeight="false" outlineLevel="0" collapsed="false">
      <c r="A211" s="14"/>
      <c r="B211" s="15" t="str">
        <f aca="false">IF(A211="","",INT((A211-Settings!$B$2)/7)+1)</f>
        <v/>
      </c>
      <c r="C211" s="13"/>
      <c r="D211" s="13"/>
      <c r="E211" s="8"/>
      <c r="F211" s="8"/>
    </row>
    <row r="212" customFormat="false" ht="15" hidden="false" customHeight="false" outlineLevel="0" collapsed="false">
      <c r="A212" s="14"/>
      <c r="B212" s="15" t="str">
        <f aca="false">IF(A212="","",INT((A212-Settings!$B$2)/7)+1)</f>
        <v/>
      </c>
      <c r="C212" s="13"/>
      <c r="D212" s="13"/>
      <c r="E212" s="8"/>
      <c r="F212" s="8"/>
    </row>
    <row r="213" customFormat="false" ht="15" hidden="false" customHeight="false" outlineLevel="0" collapsed="false">
      <c r="A213" s="14"/>
      <c r="B213" s="15" t="str">
        <f aca="false">IF(A213="","",INT((A213-Settings!$B$2)/7)+1)</f>
        <v/>
      </c>
      <c r="C213" s="13"/>
      <c r="D213" s="13"/>
      <c r="E213" s="8"/>
      <c r="F213" s="8"/>
    </row>
    <row r="214" customFormat="false" ht="15" hidden="false" customHeight="false" outlineLevel="0" collapsed="false">
      <c r="A214" s="14"/>
      <c r="B214" s="15" t="str">
        <f aca="false">IF(A214="","",INT((A214-Settings!$B$2)/7)+1)</f>
        <v/>
      </c>
      <c r="C214" s="13"/>
      <c r="D214" s="13"/>
      <c r="E214" s="8"/>
      <c r="F214" s="8"/>
    </row>
    <row r="215" customFormat="false" ht="15" hidden="false" customHeight="false" outlineLevel="0" collapsed="false">
      <c r="A215" s="14"/>
      <c r="B215" s="15" t="str">
        <f aca="false">IF(A215="","",INT((A215-Settings!$B$2)/7)+1)</f>
        <v/>
      </c>
      <c r="C215" s="13"/>
      <c r="D215" s="13"/>
      <c r="E215" s="8"/>
      <c r="F215" s="8"/>
    </row>
    <row r="216" customFormat="false" ht="15" hidden="false" customHeight="false" outlineLevel="0" collapsed="false">
      <c r="A216" s="14"/>
      <c r="B216" s="15" t="str">
        <f aca="false">IF(A216="","",INT((A216-Settings!$B$2)/7)+1)</f>
        <v/>
      </c>
      <c r="C216" s="13"/>
      <c r="D216" s="13"/>
      <c r="E216" s="8"/>
      <c r="F216" s="8"/>
    </row>
    <row r="217" customFormat="false" ht="15" hidden="false" customHeight="false" outlineLevel="0" collapsed="false">
      <c r="A217" s="14"/>
      <c r="B217" s="15" t="str">
        <f aca="false">IF(A217="","",INT((A217-Settings!$B$2)/7)+1)</f>
        <v/>
      </c>
      <c r="C217" s="13"/>
      <c r="D217" s="13"/>
      <c r="E217" s="8"/>
      <c r="F217" s="8"/>
    </row>
    <row r="218" customFormat="false" ht="15" hidden="false" customHeight="false" outlineLevel="0" collapsed="false">
      <c r="A218" s="14"/>
      <c r="B218" s="15" t="str">
        <f aca="false">IF(A218="","",INT((A218-Settings!$B$2)/7)+1)</f>
        <v/>
      </c>
      <c r="C218" s="13"/>
      <c r="D218" s="13"/>
      <c r="E218" s="8"/>
      <c r="F218" s="8"/>
    </row>
    <row r="219" customFormat="false" ht="15" hidden="false" customHeight="false" outlineLevel="0" collapsed="false">
      <c r="A219" s="14"/>
      <c r="B219" s="15" t="str">
        <f aca="false">IF(A219="","",INT((A219-Settings!$B$2)/7)+1)</f>
        <v/>
      </c>
      <c r="C219" s="13"/>
      <c r="D219" s="13"/>
      <c r="E219" s="8"/>
      <c r="F219" s="8"/>
    </row>
    <row r="220" customFormat="false" ht="15" hidden="false" customHeight="false" outlineLevel="0" collapsed="false">
      <c r="A220" s="14"/>
      <c r="B220" s="15" t="str">
        <f aca="false">IF(A220="","",INT((A220-Settings!$B$2)/7)+1)</f>
        <v/>
      </c>
      <c r="C220" s="13"/>
      <c r="D220" s="13"/>
      <c r="E220" s="8"/>
      <c r="F220" s="8"/>
    </row>
    <row r="221" customFormat="false" ht="15" hidden="false" customHeight="false" outlineLevel="0" collapsed="false">
      <c r="A221" s="14"/>
      <c r="B221" s="15" t="str">
        <f aca="false">IF(A221="","",INT((A221-Settings!$B$2)/7)+1)</f>
        <v/>
      </c>
      <c r="C221" s="13"/>
      <c r="D221" s="13"/>
      <c r="E221" s="8"/>
      <c r="F221" s="8"/>
    </row>
    <row r="222" customFormat="false" ht="15" hidden="false" customHeight="false" outlineLevel="0" collapsed="false">
      <c r="A222" s="14"/>
      <c r="B222" s="15" t="str">
        <f aca="false">IF(A222="","",INT((A222-Settings!$B$2)/7)+1)</f>
        <v/>
      </c>
      <c r="C222" s="13"/>
      <c r="D222" s="13"/>
      <c r="E222" s="8"/>
      <c r="F222" s="8"/>
    </row>
    <row r="223" customFormat="false" ht="15" hidden="false" customHeight="false" outlineLevel="0" collapsed="false">
      <c r="A223" s="14"/>
      <c r="B223" s="15" t="str">
        <f aca="false">IF(A223="","",INT((A223-Settings!$B$2)/7)+1)</f>
        <v/>
      </c>
      <c r="C223" s="13"/>
      <c r="D223" s="13"/>
      <c r="E223" s="8"/>
      <c r="F223" s="8"/>
    </row>
    <row r="224" customFormat="false" ht="15" hidden="false" customHeight="false" outlineLevel="0" collapsed="false">
      <c r="A224" s="14"/>
      <c r="B224" s="15" t="str">
        <f aca="false">IF(A224="","",INT((A224-Settings!$B$2)/7)+1)</f>
        <v/>
      </c>
      <c r="C224" s="13"/>
      <c r="D224" s="13"/>
      <c r="E224" s="8"/>
      <c r="F224" s="8"/>
    </row>
    <row r="225" customFormat="false" ht="15" hidden="false" customHeight="false" outlineLevel="0" collapsed="false">
      <c r="A225" s="14"/>
      <c r="B225" s="15" t="str">
        <f aca="false">IF(A225="","",INT((A225-Settings!$B$2)/7)+1)</f>
        <v/>
      </c>
      <c r="C225" s="13"/>
      <c r="D225" s="13"/>
      <c r="E225" s="8"/>
      <c r="F225" s="8"/>
    </row>
    <row r="226" customFormat="false" ht="15" hidden="false" customHeight="false" outlineLevel="0" collapsed="false">
      <c r="A226" s="14"/>
      <c r="B226" s="15" t="str">
        <f aca="false">IF(A226="","",INT((A226-Settings!$B$2)/7)+1)</f>
        <v/>
      </c>
      <c r="C226" s="13"/>
      <c r="D226" s="13"/>
      <c r="E226" s="8"/>
      <c r="F226" s="8"/>
    </row>
    <row r="227" customFormat="false" ht="15" hidden="false" customHeight="false" outlineLevel="0" collapsed="false">
      <c r="A227" s="14"/>
      <c r="B227" s="15" t="str">
        <f aca="false">IF(A227="","",INT((A227-Settings!$B$2)/7)+1)</f>
        <v/>
      </c>
      <c r="C227" s="13"/>
      <c r="D227" s="13"/>
      <c r="E227" s="8"/>
      <c r="F227" s="8"/>
    </row>
    <row r="228" customFormat="false" ht="15" hidden="false" customHeight="false" outlineLevel="0" collapsed="false">
      <c r="A228" s="14"/>
      <c r="B228" s="15" t="str">
        <f aca="false">IF(A228="","",INT((A228-Settings!$B$2)/7)+1)</f>
        <v/>
      </c>
      <c r="C228" s="13"/>
      <c r="D228" s="13"/>
      <c r="E228" s="8"/>
      <c r="F228" s="8"/>
    </row>
    <row r="229" customFormat="false" ht="15" hidden="false" customHeight="false" outlineLevel="0" collapsed="false">
      <c r="A229" s="14"/>
      <c r="B229" s="15" t="str">
        <f aca="false">IF(A229="","",INT((A229-Settings!$B$2)/7)+1)</f>
        <v/>
      </c>
      <c r="C229" s="13"/>
      <c r="D229" s="13"/>
      <c r="E229" s="8"/>
      <c r="F229" s="8"/>
    </row>
    <row r="230" customFormat="false" ht="15" hidden="false" customHeight="false" outlineLevel="0" collapsed="false">
      <c r="A230" s="14"/>
      <c r="B230" s="15" t="str">
        <f aca="false">IF(A230="","",INT((A230-Settings!$B$2)/7)+1)</f>
        <v/>
      </c>
      <c r="C230" s="13"/>
      <c r="D230" s="13"/>
      <c r="E230" s="8"/>
      <c r="F230" s="8"/>
    </row>
    <row r="231" customFormat="false" ht="15" hidden="false" customHeight="false" outlineLevel="0" collapsed="false">
      <c r="A231" s="14"/>
      <c r="B231" s="15" t="str">
        <f aca="false">IF(A231="","",INT((A231-Settings!$B$2)/7)+1)</f>
        <v/>
      </c>
      <c r="C231" s="13"/>
      <c r="D231" s="13"/>
      <c r="E231" s="8"/>
      <c r="F231" s="8"/>
    </row>
    <row r="232" customFormat="false" ht="15" hidden="false" customHeight="false" outlineLevel="0" collapsed="false">
      <c r="A232" s="14"/>
      <c r="B232" s="15" t="str">
        <f aca="false">IF(A232="","",INT((A232-Settings!$B$2)/7)+1)</f>
        <v/>
      </c>
      <c r="C232" s="13"/>
      <c r="D232" s="13"/>
      <c r="E232" s="8"/>
      <c r="F232" s="8"/>
    </row>
    <row r="233" customFormat="false" ht="15" hidden="false" customHeight="false" outlineLevel="0" collapsed="false">
      <c r="A233" s="14"/>
      <c r="B233" s="15" t="str">
        <f aca="false">IF(A233="","",INT((A233-Settings!$B$2)/7)+1)</f>
        <v/>
      </c>
      <c r="C233" s="13"/>
      <c r="D233" s="13"/>
      <c r="E233" s="8"/>
      <c r="F233" s="8"/>
    </row>
    <row r="234" customFormat="false" ht="15" hidden="false" customHeight="false" outlineLevel="0" collapsed="false">
      <c r="A234" s="14"/>
      <c r="B234" s="15" t="str">
        <f aca="false">IF(A234="","",INT((A234-Settings!$B$2)/7)+1)</f>
        <v/>
      </c>
      <c r="C234" s="13"/>
      <c r="D234" s="13"/>
      <c r="E234" s="8"/>
      <c r="F234" s="8"/>
    </row>
    <row r="235" customFormat="false" ht="15" hidden="false" customHeight="false" outlineLevel="0" collapsed="false">
      <c r="A235" s="14"/>
      <c r="B235" s="15" t="str">
        <f aca="false">IF(A235="","",INT((A235-Settings!$B$2)/7)+1)</f>
        <v/>
      </c>
      <c r="C235" s="13"/>
      <c r="D235" s="13"/>
      <c r="E235" s="8"/>
      <c r="F235" s="8"/>
    </row>
    <row r="236" customFormat="false" ht="15" hidden="false" customHeight="false" outlineLevel="0" collapsed="false">
      <c r="A236" s="14"/>
      <c r="B236" s="15" t="str">
        <f aca="false">IF(A236="","",INT((A236-Settings!$B$2)/7)+1)</f>
        <v/>
      </c>
      <c r="C236" s="13"/>
      <c r="D236" s="13"/>
      <c r="E236" s="8"/>
      <c r="F236" s="8"/>
    </row>
    <row r="237" customFormat="false" ht="15" hidden="false" customHeight="false" outlineLevel="0" collapsed="false">
      <c r="A237" s="14"/>
      <c r="B237" s="15" t="str">
        <f aca="false">IF(A237="","",INT((A237-Settings!$B$2)/7)+1)</f>
        <v/>
      </c>
      <c r="C237" s="13"/>
      <c r="D237" s="13"/>
      <c r="E237" s="8"/>
      <c r="F237" s="8"/>
    </row>
    <row r="238" customFormat="false" ht="15" hidden="false" customHeight="false" outlineLevel="0" collapsed="false">
      <c r="A238" s="14"/>
      <c r="B238" s="15" t="str">
        <f aca="false">IF(A238="","",INT((A238-Settings!$B$2)/7)+1)</f>
        <v/>
      </c>
      <c r="C238" s="13"/>
      <c r="D238" s="13"/>
      <c r="E238" s="8"/>
      <c r="F238" s="8"/>
    </row>
    <row r="239" customFormat="false" ht="15" hidden="false" customHeight="false" outlineLevel="0" collapsed="false">
      <c r="A239" s="14"/>
      <c r="B239" s="15" t="str">
        <f aca="false">IF(A239="","",INT((A239-Settings!$B$2)/7)+1)</f>
        <v/>
      </c>
      <c r="C239" s="13"/>
      <c r="D239" s="13"/>
      <c r="E239" s="8"/>
      <c r="F239" s="8"/>
    </row>
    <row r="240" customFormat="false" ht="15" hidden="false" customHeight="false" outlineLevel="0" collapsed="false">
      <c r="A240" s="14"/>
      <c r="B240" s="15" t="str">
        <f aca="false">IF(A240="","",INT((A240-Settings!$B$2)/7)+1)</f>
        <v/>
      </c>
      <c r="C240" s="13"/>
      <c r="D240" s="13"/>
      <c r="E240" s="8"/>
      <c r="F240" s="8"/>
    </row>
    <row r="241" customFormat="false" ht="15" hidden="false" customHeight="false" outlineLevel="0" collapsed="false">
      <c r="A241" s="14"/>
      <c r="B241" s="15" t="str">
        <f aca="false">IF(A241="","",INT((A241-Settings!$B$2)/7)+1)</f>
        <v/>
      </c>
      <c r="C241" s="13"/>
      <c r="D241" s="13"/>
      <c r="E241" s="8"/>
      <c r="F241" s="8"/>
    </row>
    <row r="242" customFormat="false" ht="15" hidden="false" customHeight="false" outlineLevel="0" collapsed="false">
      <c r="A242" s="14"/>
      <c r="B242" s="15" t="str">
        <f aca="false">IF(A242="","",INT((A242-Settings!$B$2)/7)+1)</f>
        <v/>
      </c>
      <c r="C242" s="13"/>
      <c r="D242" s="13"/>
      <c r="E242" s="8"/>
      <c r="F242" s="8"/>
    </row>
    <row r="243" customFormat="false" ht="15" hidden="false" customHeight="false" outlineLevel="0" collapsed="false">
      <c r="A243" s="14"/>
      <c r="B243" s="15" t="str">
        <f aca="false">IF(A243="","",INT((A243-Settings!$B$2)/7)+1)</f>
        <v/>
      </c>
      <c r="C243" s="13"/>
      <c r="D243" s="13"/>
      <c r="E243" s="8"/>
      <c r="F243" s="8"/>
    </row>
    <row r="244" customFormat="false" ht="15" hidden="false" customHeight="false" outlineLevel="0" collapsed="false">
      <c r="A244" s="14"/>
      <c r="B244" s="15" t="str">
        <f aca="false">IF(A244="","",INT((A244-Settings!$B$2)/7)+1)</f>
        <v/>
      </c>
      <c r="C244" s="13"/>
      <c r="D244" s="13"/>
      <c r="E244" s="8"/>
      <c r="F244" s="8"/>
    </row>
    <row r="245" customFormat="false" ht="15" hidden="false" customHeight="false" outlineLevel="0" collapsed="false">
      <c r="A245" s="14"/>
      <c r="B245" s="15" t="str">
        <f aca="false">IF(A245="","",INT((A245-Settings!$B$2)/7)+1)</f>
        <v/>
      </c>
      <c r="C245" s="13"/>
      <c r="D245" s="13"/>
      <c r="E245" s="8"/>
      <c r="F245" s="8"/>
    </row>
    <row r="246" customFormat="false" ht="15" hidden="false" customHeight="false" outlineLevel="0" collapsed="false">
      <c r="A246" s="14"/>
      <c r="B246" s="15" t="str">
        <f aca="false">IF(A246="","",INT((A246-Settings!$B$2)/7)+1)</f>
        <v/>
      </c>
      <c r="C246" s="13"/>
      <c r="D246" s="13"/>
      <c r="E246" s="8"/>
      <c r="F246" s="8"/>
    </row>
    <row r="247" customFormat="false" ht="15" hidden="false" customHeight="false" outlineLevel="0" collapsed="false">
      <c r="A247" s="14"/>
      <c r="B247" s="15" t="str">
        <f aca="false">IF(A247="","",INT((A247-Settings!$B$2)/7)+1)</f>
        <v/>
      </c>
      <c r="C247" s="13"/>
      <c r="D247" s="13"/>
      <c r="E247" s="8"/>
      <c r="F247" s="8"/>
    </row>
    <row r="248" customFormat="false" ht="15" hidden="false" customHeight="false" outlineLevel="0" collapsed="false">
      <c r="A248" s="14"/>
      <c r="B248" s="15" t="str">
        <f aca="false">IF(A248="","",INT((A248-Settings!$B$2)/7)+1)</f>
        <v/>
      </c>
      <c r="C248" s="13"/>
      <c r="D248" s="13"/>
      <c r="E248" s="8"/>
      <c r="F248" s="8"/>
    </row>
    <row r="249" customFormat="false" ht="15" hidden="false" customHeight="false" outlineLevel="0" collapsed="false">
      <c r="A249" s="14"/>
      <c r="B249" s="15" t="str">
        <f aca="false">IF(A249="","",INT((A249-Settings!$B$2)/7)+1)</f>
        <v/>
      </c>
      <c r="C249" s="13"/>
      <c r="D249" s="13"/>
      <c r="E249" s="8"/>
      <c r="F249" s="8"/>
    </row>
    <row r="250" customFormat="false" ht="15" hidden="false" customHeight="false" outlineLevel="0" collapsed="false">
      <c r="A250" s="14"/>
      <c r="B250" s="15" t="str">
        <f aca="false">IF(A250="","",INT((A250-Settings!$B$2)/7)+1)</f>
        <v/>
      </c>
      <c r="C250" s="13"/>
      <c r="D250" s="13"/>
      <c r="E250" s="8"/>
      <c r="F250" s="8"/>
    </row>
    <row r="251" customFormat="false" ht="15" hidden="false" customHeight="false" outlineLevel="0" collapsed="false">
      <c r="A251" s="14"/>
      <c r="B251" s="15" t="str">
        <f aca="false">IF(A251="","",INT((A251-Settings!$B$2)/7)+1)</f>
        <v/>
      </c>
      <c r="C251" s="13"/>
      <c r="D251" s="13"/>
      <c r="E251" s="8"/>
      <c r="F251" s="8"/>
    </row>
    <row r="252" customFormat="false" ht="15" hidden="false" customHeight="false" outlineLevel="0" collapsed="false">
      <c r="A252" s="14"/>
      <c r="B252" s="15" t="str">
        <f aca="false">IF(A252="","",INT((A252-Settings!$B$2)/7)+1)</f>
        <v/>
      </c>
      <c r="C252" s="13"/>
      <c r="D252" s="13"/>
      <c r="E252" s="8"/>
      <c r="F252" s="8"/>
    </row>
    <row r="253" customFormat="false" ht="15" hidden="false" customHeight="false" outlineLevel="0" collapsed="false">
      <c r="A253" s="14"/>
      <c r="B253" s="15" t="str">
        <f aca="false">IF(A253="","",INT((A253-Settings!$B$2)/7)+1)</f>
        <v/>
      </c>
      <c r="C253" s="13"/>
      <c r="D253" s="13"/>
      <c r="E253" s="8"/>
      <c r="F253" s="8"/>
    </row>
    <row r="254" customFormat="false" ht="15" hidden="false" customHeight="false" outlineLevel="0" collapsed="false">
      <c r="A254" s="14"/>
      <c r="B254" s="15" t="str">
        <f aca="false">IF(A254="","",INT((A254-Settings!$B$2)/7)+1)</f>
        <v/>
      </c>
      <c r="C254" s="13"/>
      <c r="D254" s="13"/>
      <c r="E254" s="8"/>
      <c r="F254" s="8"/>
    </row>
    <row r="255" customFormat="false" ht="15" hidden="false" customHeight="false" outlineLevel="0" collapsed="false">
      <c r="A255" s="14"/>
      <c r="B255" s="15" t="str">
        <f aca="false">IF(A255="","",INT((A255-Settings!$B$2)/7)+1)</f>
        <v/>
      </c>
      <c r="C255" s="13"/>
      <c r="D255" s="13"/>
      <c r="E255" s="8"/>
      <c r="F255" s="8"/>
    </row>
    <row r="256" customFormat="false" ht="15" hidden="false" customHeight="false" outlineLevel="0" collapsed="false">
      <c r="A256" s="14"/>
      <c r="B256" s="15" t="str">
        <f aca="false">IF(A256="","",INT((A256-Settings!$B$2)/7)+1)</f>
        <v/>
      </c>
      <c r="C256" s="13"/>
      <c r="D256" s="13"/>
      <c r="E256" s="8"/>
      <c r="F256" s="8"/>
    </row>
    <row r="257" customFormat="false" ht="15" hidden="false" customHeight="false" outlineLevel="0" collapsed="false">
      <c r="A257" s="14"/>
      <c r="B257" s="15" t="str">
        <f aca="false">IF(A257="","",INT((A257-Settings!$B$2)/7)+1)</f>
        <v/>
      </c>
      <c r="C257" s="13"/>
      <c r="D257" s="13"/>
      <c r="E257" s="8"/>
      <c r="F257" s="8"/>
    </row>
    <row r="258" customFormat="false" ht="15" hidden="false" customHeight="false" outlineLevel="0" collapsed="false">
      <c r="A258" s="14"/>
      <c r="B258" s="15" t="str">
        <f aca="false">IF(A258="","",INT((A258-Settings!$B$2)/7)+1)</f>
        <v/>
      </c>
      <c r="C258" s="13"/>
      <c r="D258" s="13"/>
      <c r="E258" s="8"/>
      <c r="F258" s="8"/>
    </row>
    <row r="259" customFormat="false" ht="15" hidden="false" customHeight="false" outlineLevel="0" collapsed="false">
      <c r="A259" s="14"/>
      <c r="B259" s="15" t="str">
        <f aca="false">IF(A259="","",INT((A259-Settings!$B$2)/7)+1)</f>
        <v/>
      </c>
      <c r="C259" s="13"/>
      <c r="D259" s="13"/>
      <c r="E259" s="8"/>
      <c r="F259" s="8"/>
    </row>
    <row r="260" customFormat="false" ht="15" hidden="false" customHeight="false" outlineLevel="0" collapsed="false">
      <c r="A260" s="14"/>
      <c r="B260" s="15" t="str">
        <f aca="false">IF(A260="","",INT((A260-Settings!$B$2)/7)+1)</f>
        <v/>
      </c>
      <c r="C260" s="13"/>
      <c r="D260" s="13"/>
      <c r="E260" s="8"/>
      <c r="F260" s="8"/>
    </row>
    <row r="261" customFormat="false" ht="15" hidden="false" customHeight="false" outlineLevel="0" collapsed="false">
      <c r="A261" s="14"/>
      <c r="B261" s="15" t="str">
        <f aca="false">IF(A261="","",INT((A261-Settings!$B$2)/7)+1)</f>
        <v/>
      </c>
      <c r="C261" s="13"/>
      <c r="D261" s="13"/>
      <c r="E261" s="8"/>
      <c r="F261" s="8"/>
    </row>
    <row r="262" customFormat="false" ht="15" hidden="false" customHeight="false" outlineLevel="0" collapsed="false">
      <c r="A262" s="14"/>
      <c r="B262" s="15" t="str">
        <f aca="false">IF(A262="","",INT((A262-Settings!$B$2)/7)+1)</f>
        <v/>
      </c>
      <c r="C262" s="13"/>
      <c r="D262" s="13"/>
      <c r="E262" s="8"/>
      <c r="F262" s="8"/>
    </row>
    <row r="263" customFormat="false" ht="15" hidden="false" customHeight="false" outlineLevel="0" collapsed="false">
      <c r="A263" s="14"/>
      <c r="B263" s="15" t="str">
        <f aca="false">IF(A263="","",INT((A263-Settings!$B$2)/7)+1)</f>
        <v/>
      </c>
      <c r="C263" s="13"/>
      <c r="D263" s="13"/>
      <c r="E263" s="8"/>
      <c r="F263" s="8"/>
    </row>
    <row r="264" customFormat="false" ht="15" hidden="false" customHeight="false" outlineLevel="0" collapsed="false">
      <c r="A264" s="14"/>
      <c r="B264" s="15" t="str">
        <f aca="false">IF(A264="","",INT((A264-Settings!$B$2)/7)+1)</f>
        <v/>
      </c>
      <c r="C264" s="13"/>
      <c r="D264" s="13"/>
      <c r="E264" s="8"/>
      <c r="F264" s="8"/>
    </row>
    <row r="265" customFormat="false" ht="15" hidden="false" customHeight="false" outlineLevel="0" collapsed="false">
      <c r="A265" s="14"/>
      <c r="B265" s="15" t="str">
        <f aca="false">IF(A265="","",INT((A265-Settings!$B$2)/7)+1)</f>
        <v/>
      </c>
      <c r="C265" s="13"/>
      <c r="D265" s="13"/>
      <c r="E265" s="8"/>
      <c r="F265" s="8"/>
    </row>
    <row r="266" customFormat="false" ht="15" hidden="false" customHeight="false" outlineLevel="0" collapsed="false">
      <c r="A266" s="14"/>
      <c r="B266" s="15" t="str">
        <f aca="false">IF(A266="","",INT((A266-Settings!$B$2)/7)+1)</f>
        <v/>
      </c>
      <c r="C266" s="13"/>
      <c r="D266" s="13"/>
      <c r="E266" s="8"/>
      <c r="F266" s="8"/>
    </row>
    <row r="267" customFormat="false" ht="15" hidden="false" customHeight="false" outlineLevel="0" collapsed="false">
      <c r="A267" s="14"/>
      <c r="B267" s="15" t="str">
        <f aca="false">IF(A267="","",INT((A267-Settings!$B$2)/7)+1)</f>
        <v/>
      </c>
      <c r="C267" s="13"/>
      <c r="D267" s="13"/>
      <c r="E267" s="8"/>
      <c r="F267" s="8"/>
    </row>
    <row r="268" customFormat="false" ht="15" hidden="false" customHeight="false" outlineLevel="0" collapsed="false">
      <c r="A268" s="14"/>
      <c r="B268" s="15" t="str">
        <f aca="false">IF(A268="","",INT((A268-Settings!$B$2)/7)+1)</f>
        <v/>
      </c>
      <c r="C268" s="13"/>
      <c r="D268" s="13"/>
      <c r="E268" s="8"/>
      <c r="F268" s="8"/>
    </row>
    <row r="269" customFormat="false" ht="15" hidden="false" customHeight="false" outlineLevel="0" collapsed="false">
      <c r="A269" s="14"/>
      <c r="B269" s="15" t="str">
        <f aca="false">IF(A269="","",INT((A269-Settings!$B$2)/7)+1)</f>
        <v/>
      </c>
      <c r="C269" s="13"/>
      <c r="D269" s="13"/>
      <c r="E269" s="8"/>
      <c r="F269" s="8"/>
    </row>
    <row r="270" customFormat="false" ht="15" hidden="false" customHeight="false" outlineLevel="0" collapsed="false">
      <c r="A270" s="14"/>
      <c r="B270" s="15" t="str">
        <f aca="false">IF(A270="","",INT((A270-Settings!$B$2)/7)+1)</f>
        <v/>
      </c>
      <c r="C270" s="13"/>
      <c r="D270" s="13"/>
      <c r="E270" s="8"/>
      <c r="F270" s="8"/>
    </row>
    <row r="271" customFormat="false" ht="15" hidden="false" customHeight="false" outlineLevel="0" collapsed="false">
      <c r="A271" s="14"/>
      <c r="B271" s="15" t="str">
        <f aca="false">IF(A271="","",INT((A271-Settings!$B$2)/7)+1)</f>
        <v/>
      </c>
      <c r="C271" s="13"/>
      <c r="D271" s="13"/>
      <c r="E271" s="8"/>
      <c r="F271" s="8"/>
    </row>
    <row r="272" customFormat="false" ht="15" hidden="false" customHeight="false" outlineLevel="0" collapsed="false">
      <c r="A272" s="14"/>
      <c r="B272" s="15" t="str">
        <f aca="false">IF(A272="","",INT((A272-Settings!$B$2)/7)+1)</f>
        <v/>
      </c>
      <c r="C272" s="13"/>
      <c r="D272" s="13"/>
      <c r="E272" s="8"/>
      <c r="F272" s="8"/>
    </row>
    <row r="273" customFormat="false" ht="15" hidden="false" customHeight="false" outlineLevel="0" collapsed="false">
      <c r="A273" s="14"/>
      <c r="B273" s="15" t="str">
        <f aca="false">IF(A273="","",INT((A273-Settings!$B$2)/7)+1)</f>
        <v/>
      </c>
      <c r="C273" s="13"/>
      <c r="D273" s="13"/>
      <c r="E273" s="8"/>
      <c r="F273" s="8"/>
    </row>
    <row r="274" customFormat="false" ht="15" hidden="false" customHeight="false" outlineLevel="0" collapsed="false">
      <c r="A274" s="14"/>
      <c r="B274" s="15" t="str">
        <f aca="false">IF(A274="","",INT((A274-Settings!$B$2)/7)+1)</f>
        <v/>
      </c>
      <c r="C274" s="13"/>
      <c r="D274" s="13"/>
      <c r="E274" s="8"/>
      <c r="F274" s="8"/>
    </row>
    <row r="275" customFormat="false" ht="15" hidden="false" customHeight="false" outlineLevel="0" collapsed="false">
      <c r="A275" s="14"/>
      <c r="B275" s="15" t="str">
        <f aca="false">IF(A275="","",INT((A275-Settings!$B$2)/7)+1)</f>
        <v/>
      </c>
      <c r="C275" s="13"/>
      <c r="D275" s="13"/>
      <c r="E275" s="8"/>
      <c r="F275" s="8"/>
    </row>
    <row r="276" customFormat="false" ht="15" hidden="false" customHeight="false" outlineLevel="0" collapsed="false">
      <c r="A276" s="14"/>
      <c r="B276" s="15" t="str">
        <f aca="false">IF(A276="","",INT((A276-Settings!$B$2)/7)+1)</f>
        <v/>
      </c>
      <c r="C276" s="13"/>
      <c r="D276" s="13"/>
      <c r="E276" s="8"/>
      <c r="F276" s="8"/>
    </row>
    <row r="277" customFormat="false" ht="15" hidden="false" customHeight="false" outlineLevel="0" collapsed="false">
      <c r="A277" s="14"/>
      <c r="B277" s="15" t="str">
        <f aca="false">IF(A277="","",INT((A277-Settings!$B$2)/7)+1)</f>
        <v/>
      </c>
      <c r="C277" s="13"/>
      <c r="D277" s="13"/>
      <c r="E277" s="8"/>
      <c r="F277" s="8"/>
    </row>
    <row r="278" customFormat="false" ht="15" hidden="false" customHeight="false" outlineLevel="0" collapsed="false">
      <c r="A278" s="14"/>
      <c r="B278" s="15" t="str">
        <f aca="false">IF(A278="","",INT((A278-Settings!$B$2)/7)+1)</f>
        <v/>
      </c>
      <c r="C278" s="13"/>
      <c r="D278" s="13"/>
      <c r="E278" s="8"/>
      <c r="F278" s="8"/>
    </row>
    <row r="279" customFormat="false" ht="15" hidden="false" customHeight="false" outlineLevel="0" collapsed="false">
      <c r="A279" s="14"/>
      <c r="B279" s="15" t="str">
        <f aca="false">IF(A279="","",INT((A279-Settings!$B$2)/7)+1)</f>
        <v/>
      </c>
      <c r="C279" s="13"/>
      <c r="D279" s="13"/>
      <c r="E279" s="8"/>
      <c r="F279" s="8"/>
    </row>
    <row r="280" customFormat="false" ht="15" hidden="false" customHeight="false" outlineLevel="0" collapsed="false">
      <c r="A280" s="14"/>
      <c r="B280" s="15" t="str">
        <f aca="false">IF(A280="","",INT((A280-Settings!$B$2)/7)+1)</f>
        <v/>
      </c>
      <c r="C280" s="13"/>
      <c r="D280" s="13"/>
      <c r="E280" s="8"/>
      <c r="F280" s="8"/>
    </row>
    <row r="281" customFormat="false" ht="15" hidden="false" customHeight="false" outlineLevel="0" collapsed="false">
      <c r="A281" s="14"/>
      <c r="B281" s="15" t="str">
        <f aca="false">IF(A281="","",INT((A281-Settings!$B$2)/7)+1)</f>
        <v/>
      </c>
      <c r="C281" s="13"/>
      <c r="D281" s="13"/>
      <c r="E281" s="8"/>
      <c r="F281" s="8"/>
    </row>
    <row r="282" customFormat="false" ht="15" hidden="false" customHeight="false" outlineLevel="0" collapsed="false">
      <c r="A282" s="14"/>
      <c r="B282" s="15" t="str">
        <f aca="false">IF(A282="","",INT((A282-Settings!$B$2)/7)+1)</f>
        <v/>
      </c>
      <c r="C282" s="13"/>
      <c r="D282" s="13"/>
      <c r="E282" s="8"/>
      <c r="F282" s="8"/>
    </row>
    <row r="283" customFormat="false" ht="15" hidden="false" customHeight="false" outlineLevel="0" collapsed="false">
      <c r="A283" s="14"/>
      <c r="B283" s="15" t="str">
        <f aca="false">IF(A283="","",INT((A283-Settings!$B$2)/7)+1)</f>
        <v/>
      </c>
      <c r="C283" s="13"/>
      <c r="D283" s="13"/>
      <c r="E283" s="8"/>
      <c r="F283" s="8"/>
    </row>
    <row r="284" customFormat="false" ht="15" hidden="false" customHeight="false" outlineLevel="0" collapsed="false">
      <c r="A284" s="14"/>
      <c r="B284" s="15" t="str">
        <f aca="false">IF(A284="","",INT((A284-Settings!$B$2)/7)+1)</f>
        <v/>
      </c>
      <c r="C284" s="13"/>
      <c r="D284" s="13"/>
      <c r="E284" s="8"/>
      <c r="F284" s="8"/>
    </row>
    <row r="285" customFormat="false" ht="15" hidden="false" customHeight="false" outlineLevel="0" collapsed="false">
      <c r="A285" s="14"/>
      <c r="B285" s="15" t="str">
        <f aca="false">IF(A285="","",INT((A285-Settings!$B$2)/7)+1)</f>
        <v/>
      </c>
      <c r="C285" s="13"/>
      <c r="D285" s="13"/>
      <c r="E285" s="8"/>
      <c r="F285" s="8"/>
    </row>
    <row r="286" customFormat="false" ht="15" hidden="false" customHeight="false" outlineLevel="0" collapsed="false">
      <c r="A286" s="14"/>
      <c r="B286" s="15" t="str">
        <f aca="false">IF(A286="","",INT((A286-Settings!$B$2)/7)+1)</f>
        <v/>
      </c>
      <c r="C286" s="13"/>
      <c r="D286" s="13"/>
      <c r="E286" s="8"/>
      <c r="F286" s="8"/>
    </row>
    <row r="287" customFormat="false" ht="15" hidden="false" customHeight="false" outlineLevel="0" collapsed="false">
      <c r="A287" s="14"/>
      <c r="B287" s="15" t="str">
        <f aca="false">IF(A287="","",INT((A287-Settings!$B$2)/7)+1)</f>
        <v/>
      </c>
      <c r="C287" s="13"/>
      <c r="D287" s="13"/>
      <c r="E287" s="8"/>
      <c r="F287" s="8"/>
    </row>
    <row r="288" customFormat="false" ht="15" hidden="false" customHeight="false" outlineLevel="0" collapsed="false">
      <c r="A288" s="14"/>
      <c r="B288" s="15" t="str">
        <f aca="false">IF(A288="","",INT((A288-Settings!$B$2)/7)+1)</f>
        <v/>
      </c>
      <c r="C288" s="13"/>
      <c r="D288" s="13"/>
      <c r="E288" s="8"/>
      <c r="F288" s="8"/>
    </row>
    <row r="289" customFormat="false" ht="15" hidden="false" customHeight="false" outlineLevel="0" collapsed="false">
      <c r="A289" s="14"/>
      <c r="B289" s="15" t="str">
        <f aca="false">IF(A289="","",INT((A289-Settings!$B$2)/7)+1)</f>
        <v/>
      </c>
      <c r="C289" s="13"/>
      <c r="D289" s="13"/>
      <c r="E289" s="8"/>
      <c r="F289" s="8"/>
    </row>
    <row r="290" customFormat="false" ht="15" hidden="false" customHeight="false" outlineLevel="0" collapsed="false">
      <c r="A290" s="14"/>
      <c r="B290" s="15" t="str">
        <f aca="false">IF(A290="","",INT((A290-Settings!$B$2)/7)+1)</f>
        <v/>
      </c>
      <c r="C290" s="13"/>
      <c r="D290" s="13"/>
      <c r="E290" s="8"/>
      <c r="F290" s="8"/>
    </row>
    <row r="291" customFormat="false" ht="15" hidden="false" customHeight="false" outlineLevel="0" collapsed="false">
      <c r="A291" s="14"/>
      <c r="B291" s="15" t="str">
        <f aca="false">IF(A291="","",INT((A291-Settings!$B$2)/7)+1)</f>
        <v/>
      </c>
      <c r="C291" s="13"/>
      <c r="D291" s="13"/>
      <c r="E291" s="8"/>
      <c r="F291" s="8"/>
    </row>
    <row r="292" customFormat="false" ht="15" hidden="false" customHeight="false" outlineLevel="0" collapsed="false">
      <c r="A292" s="14"/>
      <c r="B292" s="15" t="str">
        <f aca="false">IF(A292="","",INT((A292-Settings!$B$2)/7)+1)</f>
        <v/>
      </c>
      <c r="C292" s="13"/>
      <c r="D292" s="13"/>
      <c r="E292" s="8"/>
      <c r="F292" s="8"/>
    </row>
    <row r="293" customFormat="false" ht="15" hidden="false" customHeight="false" outlineLevel="0" collapsed="false">
      <c r="A293" s="14"/>
      <c r="B293" s="15" t="str">
        <f aca="false">IF(A293="","",INT((A293-Settings!$B$2)/7)+1)</f>
        <v/>
      </c>
      <c r="C293" s="13"/>
      <c r="D293" s="13"/>
      <c r="E293" s="8"/>
      <c r="F293" s="8"/>
    </row>
    <row r="294" customFormat="false" ht="15" hidden="false" customHeight="false" outlineLevel="0" collapsed="false">
      <c r="A294" s="14"/>
      <c r="B294" s="15" t="str">
        <f aca="false">IF(A294="","",INT((A294-Settings!$B$2)/7)+1)</f>
        <v/>
      </c>
      <c r="C294" s="13"/>
      <c r="D294" s="13"/>
      <c r="E294" s="8"/>
      <c r="F294" s="8"/>
    </row>
    <row r="295" customFormat="false" ht="15" hidden="false" customHeight="false" outlineLevel="0" collapsed="false">
      <c r="A295" s="14"/>
      <c r="B295" s="15" t="str">
        <f aca="false">IF(A295="","",INT((A295-Settings!$B$2)/7)+1)</f>
        <v/>
      </c>
      <c r="C295" s="13"/>
      <c r="D295" s="13"/>
      <c r="E295" s="8"/>
      <c r="F295" s="8"/>
    </row>
    <row r="296" customFormat="false" ht="15" hidden="false" customHeight="false" outlineLevel="0" collapsed="false">
      <c r="A296" s="14"/>
      <c r="B296" s="15" t="str">
        <f aca="false">IF(A296="","",INT((A296-Settings!$B$2)/7)+1)</f>
        <v/>
      </c>
      <c r="C296" s="13"/>
      <c r="D296" s="13"/>
      <c r="E296" s="8"/>
      <c r="F296" s="8"/>
    </row>
    <row r="297" customFormat="false" ht="15" hidden="false" customHeight="false" outlineLevel="0" collapsed="false">
      <c r="A297" s="14"/>
      <c r="B297" s="15" t="str">
        <f aca="false">IF(A297="","",INT((A297-Settings!$B$2)/7)+1)</f>
        <v/>
      </c>
      <c r="C297" s="13"/>
      <c r="D297" s="13"/>
      <c r="E297" s="8"/>
      <c r="F297" s="8"/>
    </row>
    <row r="298" customFormat="false" ht="15" hidden="false" customHeight="false" outlineLevel="0" collapsed="false">
      <c r="A298" s="14"/>
      <c r="B298" s="15" t="str">
        <f aca="false">IF(A298="","",INT((A298-Settings!$B$2)/7)+1)</f>
        <v/>
      </c>
      <c r="C298" s="13"/>
      <c r="D298" s="13"/>
      <c r="E298" s="8"/>
      <c r="F298" s="8"/>
    </row>
    <row r="299" customFormat="false" ht="15" hidden="false" customHeight="false" outlineLevel="0" collapsed="false">
      <c r="A299" s="14"/>
      <c r="B299" s="15" t="str">
        <f aca="false">IF(A299="","",INT((A299-Settings!$B$2)/7)+1)</f>
        <v/>
      </c>
      <c r="C299" s="13"/>
      <c r="D299" s="13"/>
      <c r="E299" s="8"/>
      <c r="F299" s="8"/>
    </row>
    <row r="300" customFormat="false" ht="15" hidden="false" customHeight="false" outlineLevel="0" collapsed="false">
      <c r="A300" s="14"/>
      <c r="B300" s="15" t="str">
        <f aca="false">IF(A300="","",INT((A300-Settings!$B$2)/7)+1)</f>
        <v/>
      </c>
      <c r="C300" s="13"/>
      <c r="D300" s="13"/>
      <c r="E300" s="8"/>
      <c r="F300" s="8"/>
    </row>
    <row r="301" customFormat="false" ht="15" hidden="false" customHeight="false" outlineLevel="0" collapsed="false">
      <c r="A301" s="14"/>
      <c r="B301" s="15" t="str">
        <f aca="false">IF(A301="","",INT((A301-Settings!$B$2)/7)+1)</f>
        <v/>
      </c>
      <c r="C301" s="13"/>
      <c r="D301" s="13"/>
      <c r="E301" s="8"/>
      <c r="F30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5"/>
    <col collapsed="false" customWidth="true" hidden="false" outlineLevel="0" max="4" min="4" style="0" width="12"/>
    <col collapsed="false" customWidth="true" hidden="false" outlineLevel="0" max="5" min="5" style="0" width="40"/>
  </cols>
  <sheetData>
    <row r="1" customFormat="false" ht="31.5" hidden="false" customHeight="true" outlineLevel="0" collapsed="false">
      <c r="A1" s="10" t="s">
        <v>340</v>
      </c>
      <c r="B1" s="10" t="s">
        <v>344</v>
      </c>
      <c r="C1" s="10" t="s">
        <v>345</v>
      </c>
      <c r="D1" s="10" t="s">
        <v>346</v>
      </c>
      <c r="E1" s="10" t="s">
        <v>347</v>
      </c>
      <c r="F1" s="8"/>
      <c r="G1" s="8" t="s">
        <v>69</v>
      </c>
    </row>
    <row r="2" customFormat="false" ht="15" hidden="false" customHeight="false" outlineLevel="0" collapsed="false">
      <c r="A2" s="14" t="n">
        <v>46328</v>
      </c>
      <c r="B2" s="13" t="s">
        <v>348</v>
      </c>
      <c r="C2" s="13" t="s">
        <v>349</v>
      </c>
      <c r="D2" s="13" t="s">
        <v>350</v>
      </c>
      <c r="E2" s="13" t="s">
        <v>351</v>
      </c>
      <c r="F2" s="8"/>
      <c r="G2" s="8"/>
    </row>
    <row r="3" customFormat="false" ht="15" hidden="false" customHeight="false" outlineLevel="0" collapsed="false">
      <c r="A3" s="14" t="n">
        <v>46331</v>
      </c>
      <c r="B3" s="13" t="s">
        <v>352</v>
      </c>
      <c r="C3" s="13" t="s">
        <v>353</v>
      </c>
      <c r="D3" s="13" t="s">
        <v>350</v>
      </c>
      <c r="E3" s="13" t="s">
        <v>351</v>
      </c>
      <c r="F3" s="8"/>
      <c r="G3" s="8"/>
    </row>
    <row r="4" customFormat="false" ht="15" hidden="false" customHeight="false" outlineLevel="0" collapsed="false">
      <c r="A4" s="14" t="n">
        <v>46334</v>
      </c>
      <c r="B4" s="13" t="s">
        <v>348</v>
      </c>
      <c r="C4" s="13" t="s">
        <v>349</v>
      </c>
      <c r="D4" s="13" t="s">
        <v>354</v>
      </c>
      <c r="E4" s="13" t="s">
        <v>351</v>
      </c>
      <c r="F4" s="8"/>
      <c r="G4" s="8"/>
    </row>
    <row r="5" customFormat="false" ht="15" hidden="false" customHeight="false" outlineLevel="0" collapsed="false">
      <c r="A5" s="14" t="n">
        <v>46337</v>
      </c>
      <c r="B5" s="13" t="s">
        <v>352</v>
      </c>
      <c r="C5" s="13" t="s">
        <v>353</v>
      </c>
      <c r="D5" s="13" t="s">
        <v>355</v>
      </c>
      <c r="E5" s="13" t="s">
        <v>351</v>
      </c>
      <c r="F5" s="8"/>
      <c r="G5" s="8"/>
    </row>
    <row r="6" customFormat="false" ht="15" hidden="false" customHeight="false" outlineLevel="0" collapsed="false">
      <c r="A6" s="14" t="n">
        <v>46340</v>
      </c>
      <c r="B6" s="13" t="s">
        <v>348</v>
      </c>
      <c r="C6" s="13" t="s">
        <v>349</v>
      </c>
      <c r="D6" s="13" t="s">
        <v>350</v>
      </c>
      <c r="E6" s="13" t="s">
        <v>351</v>
      </c>
      <c r="F6" s="8"/>
      <c r="G6" s="8"/>
    </row>
    <row r="7" customFormat="false" ht="15" hidden="false" customHeight="false" outlineLevel="0" collapsed="false">
      <c r="A7" s="14" t="n">
        <v>46343</v>
      </c>
      <c r="B7" s="13" t="s">
        <v>352</v>
      </c>
      <c r="C7" s="13" t="s">
        <v>353</v>
      </c>
      <c r="D7" s="13" t="s">
        <v>350</v>
      </c>
      <c r="E7" s="13" t="s">
        <v>351</v>
      </c>
      <c r="F7" s="8"/>
      <c r="G7" s="8"/>
    </row>
    <row r="8" customFormat="false" ht="15" hidden="false" customHeight="false" outlineLevel="0" collapsed="false">
      <c r="A8" s="14" t="n">
        <v>46346</v>
      </c>
      <c r="B8" s="13" t="s">
        <v>348</v>
      </c>
      <c r="C8" s="13" t="s">
        <v>349</v>
      </c>
      <c r="D8" s="13" t="s">
        <v>354</v>
      </c>
      <c r="E8" s="13" t="s">
        <v>351</v>
      </c>
      <c r="F8" s="8"/>
      <c r="G8" s="8"/>
    </row>
    <row r="9" customFormat="false" ht="15" hidden="false" customHeight="false" outlineLevel="0" collapsed="false">
      <c r="A9" s="14" t="n">
        <v>46349</v>
      </c>
      <c r="B9" s="13" t="s">
        <v>352</v>
      </c>
      <c r="C9" s="13" t="s">
        <v>353</v>
      </c>
      <c r="D9" s="13" t="s">
        <v>355</v>
      </c>
      <c r="E9" s="13" t="s">
        <v>351</v>
      </c>
      <c r="F9" s="8"/>
      <c r="G9" s="8"/>
    </row>
    <row r="10" customFormat="false" ht="15" hidden="false" customHeight="false" outlineLevel="0" collapsed="false">
      <c r="A10" s="14" t="n">
        <v>46352</v>
      </c>
      <c r="B10" s="13" t="s">
        <v>348</v>
      </c>
      <c r="C10" s="13" t="s">
        <v>349</v>
      </c>
      <c r="D10" s="13" t="s">
        <v>350</v>
      </c>
      <c r="E10" s="13" t="s">
        <v>351</v>
      </c>
      <c r="F10" s="8"/>
      <c r="G10" s="8"/>
    </row>
    <row r="11" customFormat="false" ht="15" hidden="false" customHeight="false" outlineLevel="0" collapsed="false">
      <c r="A11" s="14" t="n">
        <v>46355</v>
      </c>
      <c r="B11" s="13" t="s">
        <v>352</v>
      </c>
      <c r="C11" s="13" t="s">
        <v>353</v>
      </c>
      <c r="D11" s="13" t="s">
        <v>350</v>
      </c>
      <c r="E11" s="13" t="s">
        <v>351</v>
      </c>
      <c r="F11" s="8"/>
      <c r="G11" s="8"/>
    </row>
    <row r="12" customFormat="false" ht="15" hidden="false" customHeight="false" outlineLevel="0" collapsed="false">
      <c r="A12" s="14" t="n">
        <v>46358</v>
      </c>
      <c r="B12" s="13" t="s">
        <v>348</v>
      </c>
      <c r="C12" s="13" t="s">
        <v>349</v>
      </c>
      <c r="D12" s="13" t="s">
        <v>354</v>
      </c>
      <c r="E12" s="13" t="s">
        <v>351</v>
      </c>
      <c r="F12" s="8"/>
      <c r="G12" s="8"/>
    </row>
    <row r="13" customFormat="false" ht="15" hidden="false" customHeight="false" outlineLevel="0" collapsed="false">
      <c r="A13" s="14" t="n">
        <v>46361</v>
      </c>
      <c r="B13" s="13" t="s">
        <v>352</v>
      </c>
      <c r="C13" s="13" t="s">
        <v>353</v>
      </c>
      <c r="D13" s="13" t="s">
        <v>355</v>
      </c>
      <c r="E13" s="13" t="s">
        <v>351</v>
      </c>
      <c r="F13" s="8"/>
      <c r="G13" s="8"/>
    </row>
    <row r="14" customFormat="false" ht="15" hidden="false" customHeight="false" outlineLevel="0" collapsed="false">
      <c r="A14" s="14" t="n">
        <v>46364</v>
      </c>
      <c r="B14" s="13" t="s">
        <v>348</v>
      </c>
      <c r="C14" s="13" t="s">
        <v>349</v>
      </c>
      <c r="D14" s="13" t="s">
        <v>350</v>
      </c>
      <c r="E14" s="13" t="s">
        <v>351</v>
      </c>
      <c r="F14" s="8"/>
      <c r="G14" s="8"/>
    </row>
    <row r="15" customFormat="false" ht="15" hidden="false" customHeight="false" outlineLevel="0" collapsed="false">
      <c r="A15" s="14" t="n">
        <v>46367</v>
      </c>
      <c r="B15" s="13" t="s">
        <v>352</v>
      </c>
      <c r="C15" s="13" t="s">
        <v>353</v>
      </c>
      <c r="D15" s="13" t="s">
        <v>350</v>
      </c>
      <c r="E15" s="13" t="s">
        <v>351</v>
      </c>
      <c r="F15" s="8"/>
      <c r="G15" s="8"/>
    </row>
    <row r="16" customFormat="false" ht="15" hidden="false" customHeight="false" outlineLevel="0" collapsed="false">
      <c r="A16" s="14"/>
      <c r="B16" s="13"/>
      <c r="C16" s="13"/>
      <c r="D16" s="13"/>
      <c r="E16" s="13"/>
      <c r="F16" s="8"/>
      <c r="G16" s="8"/>
    </row>
    <row r="17" customFormat="false" ht="15" hidden="false" customHeight="false" outlineLevel="0" collapsed="false">
      <c r="A17" s="14"/>
      <c r="B17" s="13"/>
      <c r="C17" s="13"/>
      <c r="D17" s="13"/>
      <c r="E17" s="13"/>
      <c r="F17" s="8"/>
      <c r="G17" s="8"/>
    </row>
    <row r="18" customFormat="false" ht="15" hidden="false" customHeight="false" outlineLevel="0" collapsed="false">
      <c r="A18" s="14"/>
      <c r="B18" s="13"/>
      <c r="C18" s="13"/>
      <c r="D18" s="13"/>
      <c r="E18" s="13"/>
      <c r="F18" s="8"/>
      <c r="G18" s="8"/>
    </row>
    <row r="19" customFormat="false" ht="15" hidden="false" customHeight="false" outlineLevel="0" collapsed="false">
      <c r="A19" s="14"/>
      <c r="B19" s="13"/>
      <c r="C19" s="13"/>
      <c r="D19" s="13"/>
      <c r="E19" s="13"/>
      <c r="F19" s="8"/>
      <c r="G19" s="8"/>
    </row>
    <row r="20" customFormat="false" ht="15" hidden="false" customHeight="false" outlineLevel="0" collapsed="false">
      <c r="A20" s="14"/>
      <c r="B20" s="13"/>
      <c r="C20" s="13"/>
      <c r="D20" s="13"/>
      <c r="E20" s="13"/>
      <c r="F20" s="8"/>
      <c r="G20" s="8"/>
    </row>
    <row r="21" customFormat="false" ht="15" hidden="false" customHeight="false" outlineLevel="0" collapsed="false">
      <c r="A21" s="14"/>
      <c r="B21" s="13"/>
      <c r="C21" s="13"/>
      <c r="D21" s="13"/>
      <c r="E21" s="13"/>
      <c r="F21" s="8"/>
      <c r="G21" s="8"/>
    </row>
    <row r="22" customFormat="false" ht="15" hidden="false" customHeight="false" outlineLevel="0" collapsed="false">
      <c r="A22" s="14"/>
      <c r="B22" s="13"/>
      <c r="C22" s="13"/>
      <c r="D22" s="13"/>
      <c r="E22" s="13"/>
      <c r="F22" s="8"/>
      <c r="G22" s="8"/>
    </row>
    <row r="23" customFormat="false" ht="15" hidden="false" customHeight="false" outlineLevel="0" collapsed="false">
      <c r="A23" s="14"/>
      <c r="B23" s="13"/>
      <c r="C23" s="13"/>
      <c r="D23" s="13"/>
      <c r="E23" s="13"/>
      <c r="F23" s="8"/>
      <c r="G23" s="8"/>
    </row>
    <row r="24" customFormat="false" ht="15" hidden="false" customHeight="false" outlineLevel="0" collapsed="false">
      <c r="A24" s="14"/>
      <c r="B24" s="13"/>
      <c r="C24" s="13"/>
      <c r="D24" s="13"/>
      <c r="E24" s="13"/>
      <c r="F24" s="8"/>
      <c r="G24" s="8"/>
    </row>
    <row r="25" customFormat="false" ht="15" hidden="false" customHeight="false" outlineLevel="0" collapsed="false">
      <c r="A25" s="14"/>
      <c r="B25" s="13"/>
      <c r="C25" s="13"/>
      <c r="D25" s="13"/>
      <c r="E25" s="13"/>
      <c r="F25" s="8"/>
      <c r="G25" s="8"/>
    </row>
    <row r="26" customFormat="false" ht="15" hidden="false" customHeight="false" outlineLevel="0" collapsed="false">
      <c r="A26" s="14"/>
      <c r="B26" s="13"/>
      <c r="C26" s="13"/>
      <c r="D26" s="13"/>
      <c r="E26" s="13"/>
      <c r="F26" s="8"/>
      <c r="G26" s="8"/>
    </row>
    <row r="27" customFormat="false" ht="15" hidden="false" customHeight="false" outlineLevel="0" collapsed="false">
      <c r="A27" s="14"/>
      <c r="B27" s="13"/>
      <c r="C27" s="13"/>
      <c r="D27" s="13"/>
      <c r="E27" s="13"/>
      <c r="F27" s="8"/>
      <c r="G27" s="8"/>
    </row>
    <row r="28" customFormat="false" ht="15" hidden="false" customHeight="false" outlineLevel="0" collapsed="false">
      <c r="A28" s="14"/>
      <c r="B28" s="13"/>
      <c r="C28" s="13"/>
      <c r="D28" s="13"/>
      <c r="E28" s="13"/>
      <c r="F28" s="8"/>
      <c r="G28" s="8"/>
    </row>
    <row r="29" customFormat="false" ht="15" hidden="false" customHeight="false" outlineLevel="0" collapsed="false">
      <c r="A29" s="14"/>
      <c r="B29" s="13"/>
      <c r="C29" s="13"/>
      <c r="D29" s="13"/>
      <c r="E29" s="13"/>
      <c r="F29" s="8"/>
      <c r="G29" s="8"/>
    </row>
    <row r="30" customFormat="false" ht="15" hidden="false" customHeight="false" outlineLevel="0" collapsed="false">
      <c r="A30" s="14"/>
      <c r="B30" s="13"/>
      <c r="C30" s="13"/>
      <c r="D30" s="13"/>
      <c r="E30" s="13"/>
      <c r="F30" s="8"/>
      <c r="G30" s="8"/>
    </row>
    <row r="31" customFormat="false" ht="15" hidden="false" customHeight="false" outlineLevel="0" collapsed="false">
      <c r="A31" s="14"/>
      <c r="B31" s="13"/>
      <c r="C31" s="13"/>
      <c r="D31" s="13"/>
      <c r="E31" s="13"/>
      <c r="F31" s="8"/>
      <c r="G31" s="8"/>
    </row>
    <row r="32" customFormat="false" ht="15" hidden="false" customHeight="false" outlineLevel="0" collapsed="false">
      <c r="A32" s="14"/>
      <c r="B32" s="13"/>
      <c r="C32" s="13"/>
      <c r="D32" s="13"/>
      <c r="E32" s="13"/>
      <c r="F32" s="8"/>
      <c r="G32" s="8"/>
    </row>
    <row r="33" customFormat="false" ht="15" hidden="false" customHeight="false" outlineLevel="0" collapsed="false">
      <c r="A33" s="14"/>
      <c r="B33" s="13"/>
      <c r="C33" s="13"/>
      <c r="D33" s="13"/>
      <c r="E33" s="13"/>
      <c r="F33" s="8"/>
      <c r="G33" s="8"/>
    </row>
    <row r="34" customFormat="false" ht="15" hidden="false" customHeight="false" outlineLevel="0" collapsed="false">
      <c r="A34" s="14"/>
      <c r="B34" s="13"/>
      <c r="C34" s="13"/>
      <c r="D34" s="13"/>
      <c r="E34" s="13"/>
      <c r="F34" s="8"/>
      <c r="G34" s="8"/>
    </row>
    <row r="35" customFormat="false" ht="15" hidden="false" customHeight="false" outlineLevel="0" collapsed="false">
      <c r="A35" s="14"/>
      <c r="B35" s="13"/>
      <c r="C35" s="13"/>
      <c r="D35" s="13"/>
      <c r="E35" s="13"/>
      <c r="F35" s="8"/>
      <c r="G35" s="8"/>
    </row>
    <row r="36" customFormat="false" ht="15" hidden="false" customHeight="false" outlineLevel="0" collapsed="false">
      <c r="A36" s="14"/>
      <c r="B36" s="13"/>
      <c r="C36" s="13"/>
      <c r="D36" s="13"/>
      <c r="E36" s="13"/>
      <c r="F36" s="8"/>
      <c r="G36" s="8"/>
    </row>
    <row r="37" customFormat="false" ht="15" hidden="false" customHeight="false" outlineLevel="0" collapsed="false">
      <c r="A37" s="14"/>
      <c r="B37" s="13"/>
      <c r="C37" s="13"/>
      <c r="D37" s="13"/>
      <c r="E37" s="13"/>
      <c r="F37" s="8"/>
      <c r="G37" s="8"/>
    </row>
    <row r="38" customFormat="false" ht="15" hidden="false" customHeight="false" outlineLevel="0" collapsed="false">
      <c r="A38" s="14"/>
      <c r="B38" s="13"/>
      <c r="C38" s="13"/>
      <c r="D38" s="13"/>
      <c r="E38" s="13"/>
      <c r="F38" s="8"/>
      <c r="G38" s="8"/>
    </row>
    <row r="39" customFormat="false" ht="15" hidden="false" customHeight="false" outlineLevel="0" collapsed="false">
      <c r="A39" s="14"/>
      <c r="B39" s="13"/>
      <c r="C39" s="13"/>
      <c r="D39" s="13"/>
      <c r="E39" s="13"/>
      <c r="F39" s="8"/>
      <c r="G39" s="8"/>
    </row>
    <row r="40" customFormat="false" ht="15" hidden="false" customHeight="false" outlineLevel="0" collapsed="false">
      <c r="A40" s="14"/>
      <c r="B40" s="13"/>
      <c r="C40" s="13"/>
      <c r="D40" s="13"/>
      <c r="E40" s="13"/>
      <c r="F40" s="8"/>
      <c r="G40" s="8"/>
    </row>
    <row r="41" customFormat="false" ht="15" hidden="false" customHeight="false" outlineLevel="0" collapsed="false">
      <c r="A41" s="14"/>
      <c r="B41" s="13"/>
      <c r="C41" s="13"/>
      <c r="D41" s="13"/>
      <c r="E41" s="13"/>
      <c r="F41" s="8"/>
      <c r="G41" s="8"/>
    </row>
    <row r="42" customFormat="false" ht="15" hidden="false" customHeight="false" outlineLevel="0" collapsed="false">
      <c r="A42" s="14"/>
      <c r="B42" s="13"/>
      <c r="C42" s="13"/>
      <c r="D42" s="13"/>
      <c r="E42" s="13"/>
      <c r="F42" s="8"/>
      <c r="G42" s="8"/>
    </row>
    <row r="43" customFormat="false" ht="15" hidden="false" customHeight="false" outlineLevel="0" collapsed="false">
      <c r="A43" s="14"/>
      <c r="B43" s="13"/>
      <c r="C43" s="13"/>
      <c r="D43" s="13"/>
      <c r="E43" s="13"/>
      <c r="F43" s="8"/>
      <c r="G43" s="8"/>
    </row>
    <row r="44" customFormat="false" ht="15" hidden="false" customHeight="false" outlineLevel="0" collapsed="false">
      <c r="A44" s="14"/>
      <c r="B44" s="13"/>
      <c r="C44" s="13"/>
      <c r="D44" s="13"/>
      <c r="E44" s="13"/>
      <c r="F44" s="8"/>
      <c r="G44" s="8"/>
    </row>
    <row r="45" customFormat="false" ht="15" hidden="false" customHeight="false" outlineLevel="0" collapsed="false">
      <c r="A45" s="14"/>
      <c r="B45" s="13"/>
      <c r="C45" s="13"/>
      <c r="D45" s="13"/>
      <c r="E45" s="13"/>
      <c r="F45" s="8"/>
      <c r="G45" s="8"/>
    </row>
    <row r="46" customFormat="false" ht="15" hidden="false" customHeight="false" outlineLevel="0" collapsed="false">
      <c r="A46" s="14"/>
      <c r="B46" s="13"/>
      <c r="C46" s="13"/>
      <c r="D46" s="13"/>
      <c r="E46" s="13"/>
      <c r="F46" s="8"/>
      <c r="G46" s="8"/>
    </row>
    <row r="47" customFormat="false" ht="15" hidden="false" customHeight="false" outlineLevel="0" collapsed="false">
      <c r="A47" s="14"/>
      <c r="B47" s="13"/>
      <c r="C47" s="13"/>
      <c r="D47" s="13"/>
      <c r="E47" s="13"/>
      <c r="F47" s="8"/>
      <c r="G47" s="8"/>
    </row>
    <row r="48" customFormat="false" ht="15" hidden="false" customHeight="false" outlineLevel="0" collapsed="false">
      <c r="A48" s="14"/>
      <c r="B48" s="13"/>
      <c r="C48" s="13"/>
      <c r="D48" s="13"/>
      <c r="E48" s="13"/>
      <c r="F48" s="8"/>
      <c r="G48" s="8"/>
    </row>
    <row r="49" customFormat="false" ht="15" hidden="false" customHeight="false" outlineLevel="0" collapsed="false">
      <c r="A49" s="14"/>
      <c r="B49" s="13"/>
      <c r="C49" s="13"/>
      <c r="D49" s="13"/>
      <c r="E49" s="13"/>
      <c r="F49" s="8"/>
      <c r="G49" s="8"/>
    </row>
    <row r="50" customFormat="false" ht="15" hidden="false" customHeight="false" outlineLevel="0" collapsed="false">
      <c r="A50" s="14"/>
      <c r="B50" s="13"/>
      <c r="C50" s="13"/>
      <c r="D50" s="13"/>
      <c r="E50" s="13"/>
      <c r="F50" s="8"/>
      <c r="G50" s="8"/>
    </row>
    <row r="51" customFormat="false" ht="15" hidden="false" customHeight="false" outlineLevel="0" collapsed="false">
      <c r="A51" s="14"/>
      <c r="B51" s="13"/>
      <c r="C51" s="13"/>
      <c r="D51" s="13"/>
      <c r="E51" s="13"/>
      <c r="F51" s="8"/>
      <c r="G51" s="8"/>
    </row>
    <row r="52" customFormat="false" ht="15" hidden="false" customHeight="false" outlineLevel="0" collapsed="false">
      <c r="A52" s="14"/>
      <c r="B52" s="13"/>
      <c r="C52" s="13"/>
      <c r="D52" s="13"/>
      <c r="E52" s="13"/>
      <c r="F52" s="8"/>
      <c r="G52" s="8"/>
    </row>
    <row r="53" customFormat="false" ht="15" hidden="false" customHeight="false" outlineLevel="0" collapsed="false">
      <c r="A53" s="14"/>
      <c r="B53" s="13"/>
      <c r="C53" s="13"/>
      <c r="D53" s="13"/>
      <c r="E53" s="13"/>
      <c r="F53" s="8"/>
      <c r="G53" s="8"/>
    </row>
    <row r="54" customFormat="false" ht="15" hidden="false" customHeight="false" outlineLevel="0" collapsed="false">
      <c r="A54" s="14"/>
      <c r="B54" s="13"/>
      <c r="C54" s="13"/>
      <c r="D54" s="13"/>
      <c r="E54" s="13"/>
      <c r="F54" s="8"/>
      <c r="G54" s="8"/>
    </row>
    <row r="55" customFormat="false" ht="15" hidden="false" customHeight="false" outlineLevel="0" collapsed="false">
      <c r="A55" s="14"/>
      <c r="B55" s="13"/>
      <c r="C55" s="13"/>
      <c r="D55" s="13"/>
      <c r="E55" s="13"/>
      <c r="F55" s="8"/>
      <c r="G55" s="8"/>
    </row>
    <row r="56" customFormat="false" ht="15" hidden="false" customHeight="false" outlineLevel="0" collapsed="false">
      <c r="A56" s="14"/>
      <c r="B56" s="13"/>
      <c r="C56" s="13"/>
      <c r="D56" s="13"/>
      <c r="E56" s="13"/>
      <c r="F56" s="8"/>
      <c r="G56" s="8"/>
    </row>
    <row r="57" customFormat="false" ht="15" hidden="false" customHeight="false" outlineLevel="0" collapsed="false">
      <c r="A57" s="14"/>
      <c r="B57" s="13"/>
      <c r="C57" s="13"/>
      <c r="D57" s="13"/>
      <c r="E57" s="13"/>
      <c r="F57" s="8"/>
      <c r="G57" s="8"/>
    </row>
    <row r="58" customFormat="false" ht="15" hidden="false" customHeight="false" outlineLevel="0" collapsed="false">
      <c r="A58" s="14"/>
      <c r="B58" s="13"/>
      <c r="C58" s="13"/>
      <c r="D58" s="13"/>
      <c r="E58" s="13"/>
      <c r="F58" s="8"/>
      <c r="G58" s="8"/>
    </row>
    <row r="59" customFormat="false" ht="15" hidden="false" customHeight="false" outlineLevel="0" collapsed="false">
      <c r="A59" s="14"/>
      <c r="B59" s="13"/>
      <c r="C59" s="13"/>
      <c r="D59" s="13"/>
      <c r="E59" s="13"/>
      <c r="F59" s="8"/>
      <c r="G59" s="8"/>
    </row>
    <row r="60" customFormat="false" ht="15" hidden="false" customHeight="false" outlineLevel="0" collapsed="false">
      <c r="A60" s="14"/>
      <c r="B60" s="13"/>
      <c r="C60" s="13"/>
      <c r="D60" s="13"/>
      <c r="E60" s="13"/>
      <c r="F60" s="8"/>
      <c r="G60" s="8"/>
    </row>
    <row r="61" customFormat="false" ht="15" hidden="false" customHeight="false" outlineLevel="0" collapsed="false">
      <c r="A61" s="14"/>
      <c r="B61" s="13"/>
      <c r="C61" s="13"/>
      <c r="D61" s="13"/>
      <c r="E61" s="13"/>
      <c r="F61" s="8"/>
      <c r="G61" s="8"/>
    </row>
    <row r="62" customFormat="false" ht="15" hidden="false" customHeight="false" outlineLevel="0" collapsed="false">
      <c r="A62" s="14"/>
      <c r="B62" s="13"/>
      <c r="C62" s="13"/>
      <c r="D62" s="13"/>
      <c r="E62" s="13"/>
      <c r="F62" s="8"/>
      <c r="G62" s="8"/>
    </row>
    <row r="63" customFormat="false" ht="15" hidden="false" customHeight="false" outlineLevel="0" collapsed="false">
      <c r="A63" s="14"/>
      <c r="B63" s="13"/>
      <c r="C63" s="13"/>
      <c r="D63" s="13"/>
      <c r="E63" s="13"/>
      <c r="F63" s="8"/>
      <c r="G63" s="8"/>
    </row>
    <row r="64" customFormat="false" ht="15" hidden="false" customHeight="false" outlineLevel="0" collapsed="false">
      <c r="A64" s="14"/>
      <c r="B64" s="13"/>
      <c r="C64" s="13"/>
      <c r="D64" s="13"/>
      <c r="E64" s="13"/>
      <c r="F64" s="8"/>
      <c r="G64" s="8"/>
    </row>
    <row r="65" customFormat="false" ht="15" hidden="false" customHeight="false" outlineLevel="0" collapsed="false">
      <c r="A65" s="14"/>
      <c r="B65" s="13"/>
      <c r="C65" s="13"/>
      <c r="D65" s="13"/>
      <c r="E65" s="13"/>
      <c r="F65" s="8"/>
      <c r="G65" s="8"/>
    </row>
    <row r="66" customFormat="false" ht="15" hidden="false" customHeight="false" outlineLevel="0" collapsed="false">
      <c r="A66" s="14"/>
      <c r="B66" s="13"/>
      <c r="C66" s="13"/>
      <c r="D66" s="13"/>
      <c r="E66" s="13"/>
      <c r="F66" s="8"/>
      <c r="G66" s="8"/>
    </row>
    <row r="67" customFormat="false" ht="15" hidden="false" customHeight="false" outlineLevel="0" collapsed="false">
      <c r="A67" s="14"/>
      <c r="B67" s="13"/>
      <c r="C67" s="13"/>
      <c r="D67" s="13"/>
      <c r="E67" s="13"/>
      <c r="F67" s="8"/>
      <c r="G67" s="8"/>
    </row>
    <row r="68" customFormat="false" ht="15" hidden="false" customHeight="false" outlineLevel="0" collapsed="false">
      <c r="A68" s="14"/>
      <c r="B68" s="13"/>
      <c r="C68" s="13"/>
      <c r="D68" s="13"/>
      <c r="E68" s="13"/>
      <c r="F68" s="8"/>
      <c r="G68" s="8"/>
    </row>
    <row r="69" customFormat="false" ht="15" hidden="false" customHeight="false" outlineLevel="0" collapsed="false">
      <c r="A69" s="14"/>
      <c r="B69" s="13"/>
      <c r="C69" s="13"/>
      <c r="D69" s="13"/>
      <c r="E69" s="13"/>
      <c r="F69" s="8"/>
      <c r="G69" s="8"/>
    </row>
    <row r="70" customFormat="false" ht="15" hidden="false" customHeight="false" outlineLevel="0" collapsed="false">
      <c r="A70" s="14"/>
      <c r="B70" s="13"/>
      <c r="C70" s="13"/>
      <c r="D70" s="13"/>
      <c r="E70" s="13"/>
      <c r="F70" s="8"/>
      <c r="G70" s="8"/>
    </row>
    <row r="71" customFormat="false" ht="15" hidden="false" customHeight="false" outlineLevel="0" collapsed="false">
      <c r="A71" s="14"/>
      <c r="B71" s="13"/>
      <c r="C71" s="13"/>
      <c r="D71" s="13"/>
      <c r="E71" s="13"/>
      <c r="F71" s="8"/>
      <c r="G71" s="8"/>
    </row>
    <row r="72" customFormat="false" ht="15" hidden="false" customHeight="false" outlineLevel="0" collapsed="false">
      <c r="A72" s="14"/>
      <c r="B72" s="13"/>
      <c r="C72" s="13"/>
      <c r="D72" s="13"/>
      <c r="E72" s="13"/>
      <c r="F72" s="8"/>
      <c r="G72" s="8"/>
    </row>
    <row r="73" customFormat="false" ht="15" hidden="false" customHeight="false" outlineLevel="0" collapsed="false">
      <c r="A73" s="14"/>
      <c r="B73" s="13"/>
      <c r="C73" s="13"/>
      <c r="D73" s="13"/>
      <c r="E73" s="13"/>
      <c r="F73" s="8"/>
      <c r="G73" s="8"/>
    </row>
    <row r="74" customFormat="false" ht="15" hidden="false" customHeight="false" outlineLevel="0" collapsed="false">
      <c r="A74" s="14"/>
      <c r="B74" s="13"/>
      <c r="C74" s="13"/>
      <c r="D74" s="13"/>
      <c r="E74" s="13"/>
      <c r="F74" s="8"/>
      <c r="G74" s="8"/>
    </row>
    <row r="75" customFormat="false" ht="15" hidden="false" customHeight="false" outlineLevel="0" collapsed="false">
      <c r="A75" s="14"/>
      <c r="B75" s="13"/>
      <c r="C75" s="13"/>
      <c r="D75" s="13"/>
      <c r="E75" s="13"/>
      <c r="F75" s="8"/>
      <c r="G75" s="8"/>
    </row>
    <row r="76" customFormat="false" ht="15" hidden="false" customHeight="false" outlineLevel="0" collapsed="false">
      <c r="A76" s="14"/>
      <c r="B76" s="13"/>
      <c r="C76" s="13"/>
      <c r="D76" s="13"/>
      <c r="E76" s="13"/>
      <c r="F76" s="8"/>
      <c r="G76" s="8"/>
    </row>
    <row r="77" customFormat="false" ht="15" hidden="false" customHeight="false" outlineLevel="0" collapsed="false">
      <c r="A77" s="14"/>
      <c r="B77" s="13"/>
      <c r="C77" s="13"/>
      <c r="D77" s="13"/>
      <c r="E77" s="13"/>
      <c r="F77" s="8"/>
      <c r="G77" s="8"/>
    </row>
    <row r="78" customFormat="false" ht="15" hidden="false" customHeight="false" outlineLevel="0" collapsed="false">
      <c r="A78" s="14"/>
      <c r="B78" s="13"/>
      <c r="C78" s="13"/>
      <c r="D78" s="13"/>
      <c r="E78" s="13"/>
      <c r="F78" s="8"/>
      <c r="G78" s="8"/>
    </row>
    <row r="79" customFormat="false" ht="15" hidden="false" customHeight="false" outlineLevel="0" collapsed="false">
      <c r="A79" s="14"/>
      <c r="B79" s="13"/>
      <c r="C79" s="13"/>
      <c r="D79" s="13"/>
      <c r="E79" s="13"/>
      <c r="F79" s="8"/>
      <c r="G79" s="8"/>
    </row>
    <row r="80" customFormat="false" ht="15" hidden="false" customHeight="false" outlineLevel="0" collapsed="false">
      <c r="A80" s="14"/>
      <c r="B80" s="13"/>
      <c r="C80" s="13"/>
      <c r="D80" s="13"/>
      <c r="E80" s="13"/>
      <c r="F80" s="8"/>
      <c r="G80" s="8"/>
    </row>
    <row r="81" customFormat="false" ht="15" hidden="false" customHeight="false" outlineLevel="0" collapsed="false">
      <c r="A81" s="14"/>
      <c r="B81" s="13"/>
      <c r="C81" s="13"/>
      <c r="D81" s="13"/>
      <c r="E81" s="13"/>
      <c r="F81" s="8"/>
      <c r="G81" s="8"/>
    </row>
    <row r="82" customFormat="false" ht="15" hidden="false" customHeight="false" outlineLevel="0" collapsed="false">
      <c r="A82" s="14"/>
      <c r="B82" s="13"/>
      <c r="C82" s="13"/>
      <c r="D82" s="13"/>
      <c r="E82" s="13"/>
      <c r="F82" s="8"/>
      <c r="G82" s="8"/>
    </row>
    <row r="83" customFormat="false" ht="15" hidden="false" customHeight="false" outlineLevel="0" collapsed="false">
      <c r="A83" s="14"/>
      <c r="B83" s="13"/>
      <c r="C83" s="13"/>
      <c r="D83" s="13"/>
      <c r="E83" s="13"/>
      <c r="F83" s="8"/>
      <c r="G83" s="8"/>
    </row>
    <row r="84" customFormat="false" ht="15" hidden="false" customHeight="false" outlineLevel="0" collapsed="false">
      <c r="A84" s="14"/>
      <c r="B84" s="13"/>
      <c r="C84" s="13"/>
      <c r="D84" s="13"/>
      <c r="E84" s="13"/>
      <c r="F84" s="8"/>
      <c r="G84" s="8"/>
    </row>
    <row r="85" customFormat="false" ht="15" hidden="false" customHeight="false" outlineLevel="0" collapsed="false">
      <c r="A85" s="14"/>
      <c r="B85" s="13"/>
      <c r="C85" s="13"/>
      <c r="D85" s="13"/>
      <c r="E85" s="13"/>
      <c r="F85" s="8"/>
      <c r="G85" s="8"/>
    </row>
    <row r="86" customFormat="false" ht="15" hidden="false" customHeight="false" outlineLevel="0" collapsed="false">
      <c r="A86" s="14"/>
      <c r="B86" s="13"/>
      <c r="C86" s="13"/>
      <c r="D86" s="13"/>
      <c r="E86" s="13"/>
      <c r="F86" s="8"/>
      <c r="G86" s="8"/>
    </row>
    <row r="87" customFormat="false" ht="15" hidden="false" customHeight="false" outlineLevel="0" collapsed="false">
      <c r="A87" s="14"/>
      <c r="B87" s="13"/>
      <c r="C87" s="13"/>
      <c r="D87" s="13"/>
      <c r="E87" s="13"/>
      <c r="F87" s="8"/>
      <c r="G87" s="8"/>
    </row>
    <row r="88" customFormat="false" ht="15" hidden="false" customHeight="false" outlineLevel="0" collapsed="false">
      <c r="A88" s="14"/>
      <c r="B88" s="13"/>
      <c r="C88" s="13"/>
      <c r="D88" s="13"/>
      <c r="E88" s="13"/>
      <c r="F88" s="8"/>
      <c r="G88" s="8"/>
    </row>
    <row r="89" customFormat="false" ht="15" hidden="false" customHeight="false" outlineLevel="0" collapsed="false">
      <c r="A89" s="14"/>
      <c r="B89" s="13"/>
      <c r="C89" s="13"/>
      <c r="D89" s="13"/>
      <c r="E89" s="13"/>
      <c r="F89" s="8"/>
      <c r="G89" s="8"/>
    </row>
    <row r="90" customFormat="false" ht="15" hidden="false" customHeight="false" outlineLevel="0" collapsed="false">
      <c r="A90" s="14"/>
      <c r="B90" s="13"/>
      <c r="C90" s="13"/>
      <c r="D90" s="13"/>
      <c r="E90" s="13"/>
      <c r="F90" s="8"/>
      <c r="G90" s="8"/>
    </row>
    <row r="91" customFormat="false" ht="15" hidden="false" customHeight="false" outlineLevel="0" collapsed="false">
      <c r="A91" s="14"/>
      <c r="B91" s="13"/>
      <c r="C91" s="13"/>
      <c r="D91" s="13"/>
      <c r="E91" s="13"/>
      <c r="F91" s="8"/>
      <c r="G91" s="8"/>
    </row>
    <row r="92" customFormat="false" ht="15" hidden="false" customHeight="false" outlineLevel="0" collapsed="false">
      <c r="A92" s="14"/>
      <c r="B92" s="13"/>
      <c r="C92" s="13"/>
      <c r="D92" s="13"/>
      <c r="E92" s="13"/>
      <c r="F92" s="8"/>
      <c r="G92" s="8"/>
    </row>
    <row r="93" customFormat="false" ht="15" hidden="false" customHeight="false" outlineLevel="0" collapsed="false">
      <c r="A93" s="14"/>
      <c r="B93" s="13"/>
      <c r="C93" s="13"/>
      <c r="D93" s="13"/>
      <c r="E93" s="13"/>
      <c r="F93" s="8"/>
      <c r="G93" s="8"/>
    </row>
    <row r="94" customFormat="false" ht="15" hidden="false" customHeight="false" outlineLevel="0" collapsed="false">
      <c r="A94" s="14"/>
      <c r="B94" s="13"/>
      <c r="C94" s="13"/>
      <c r="D94" s="13"/>
      <c r="E94" s="13"/>
      <c r="F94" s="8"/>
      <c r="G94" s="8"/>
    </row>
    <row r="95" customFormat="false" ht="15" hidden="false" customHeight="false" outlineLevel="0" collapsed="false">
      <c r="A95" s="14"/>
      <c r="B95" s="13"/>
      <c r="C95" s="13"/>
      <c r="D95" s="13"/>
      <c r="E95" s="13"/>
      <c r="F95" s="8"/>
      <c r="G95" s="8"/>
    </row>
    <row r="96" customFormat="false" ht="15" hidden="false" customHeight="false" outlineLevel="0" collapsed="false">
      <c r="A96" s="14"/>
      <c r="B96" s="13"/>
      <c r="C96" s="13"/>
      <c r="D96" s="13"/>
      <c r="E96" s="13"/>
      <c r="F96" s="8"/>
      <c r="G96" s="8"/>
    </row>
    <row r="97" customFormat="false" ht="15" hidden="false" customHeight="false" outlineLevel="0" collapsed="false">
      <c r="A97" s="14"/>
      <c r="B97" s="13"/>
      <c r="C97" s="13"/>
      <c r="D97" s="13"/>
      <c r="E97" s="13"/>
      <c r="F97" s="8"/>
      <c r="G97" s="8"/>
    </row>
    <row r="98" customFormat="false" ht="15" hidden="false" customHeight="false" outlineLevel="0" collapsed="false">
      <c r="A98" s="14"/>
      <c r="B98" s="13"/>
      <c r="C98" s="13"/>
      <c r="D98" s="13"/>
      <c r="E98" s="13"/>
      <c r="F98" s="8"/>
      <c r="G98" s="8"/>
    </row>
    <row r="99" customFormat="false" ht="15" hidden="false" customHeight="false" outlineLevel="0" collapsed="false">
      <c r="A99" s="14"/>
      <c r="B99" s="13"/>
      <c r="C99" s="13"/>
      <c r="D99" s="13"/>
      <c r="E99" s="13"/>
      <c r="F99" s="8"/>
      <c r="G99" s="8"/>
    </row>
    <row r="100" customFormat="false" ht="15" hidden="false" customHeight="false" outlineLevel="0" collapsed="false">
      <c r="A100" s="14"/>
      <c r="B100" s="13"/>
      <c r="C100" s="13"/>
      <c r="D100" s="13"/>
      <c r="E100" s="13"/>
      <c r="F100" s="8"/>
      <c r="G100" s="8"/>
    </row>
    <row r="101" customFormat="false" ht="15" hidden="false" customHeight="false" outlineLevel="0" collapsed="false">
      <c r="A101" s="14"/>
      <c r="B101" s="13"/>
      <c r="C101" s="13"/>
      <c r="D101" s="13"/>
      <c r="E101" s="13"/>
      <c r="F101" s="8"/>
      <c r="G101" s="8"/>
    </row>
    <row r="102" customFormat="false" ht="15" hidden="false" customHeight="false" outlineLevel="0" collapsed="false">
      <c r="A102" s="14"/>
      <c r="B102" s="13"/>
      <c r="C102" s="13"/>
      <c r="D102" s="13"/>
      <c r="E102" s="13"/>
      <c r="F102" s="8"/>
      <c r="G102" s="8"/>
    </row>
    <row r="103" customFormat="false" ht="15" hidden="false" customHeight="false" outlineLevel="0" collapsed="false">
      <c r="A103" s="14"/>
      <c r="B103" s="13"/>
      <c r="C103" s="13"/>
      <c r="D103" s="13"/>
      <c r="E103" s="13"/>
      <c r="F103" s="8"/>
      <c r="G103" s="8"/>
    </row>
    <row r="104" customFormat="false" ht="15" hidden="false" customHeight="false" outlineLevel="0" collapsed="false">
      <c r="A104" s="14"/>
      <c r="B104" s="13"/>
      <c r="C104" s="13"/>
      <c r="D104" s="13"/>
      <c r="E104" s="13"/>
      <c r="F104" s="8"/>
      <c r="G104" s="8"/>
    </row>
    <row r="105" customFormat="false" ht="15" hidden="false" customHeight="false" outlineLevel="0" collapsed="false">
      <c r="A105" s="14"/>
      <c r="B105" s="13"/>
      <c r="C105" s="13"/>
      <c r="D105" s="13"/>
      <c r="E105" s="13"/>
      <c r="F105" s="8"/>
      <c r="G105" s="8"/>
    </row>
    <row r="106" customFormat="false" ht="15" hidden="false" customHeight="false" outlineLevel="0" collapsed="false">
      <c r="A106" s="14"/>
      <c r="B106" s="13"/>
      <c r="C106" s="13"/>
      <c r="D106" s="13"/>
      <c r="E106" s="13"/>
      <c r="F106" s="8"/>
      <c r="G106" s="8"/>
    </row>
    <row r="107" customFormat="false" ht="15" hidden="false" customHeight="false" outlineLevel="0" collapsed="false">
      <c r="A107" s="14"/>
      <c r="B107" s="13"/>
      <c r="C107" s="13"/>
      <c r="D107" s="13"/>
      <c r="E107" s="13"/>
      <c r="F107" s="8"/>
      <c r="G107" s="8"/>
    </row>
    <row r="108" customFormat="false" ht="15" hidden="false" customHeight="false" outlineLevel="0" collapsed="false">
      <c r="A108" s="14"/>
      <c r="B108" s="13"/>
      <c r="C108" s="13"/>
      <c r="D108" s="13"/>
      <c r="E108" s="13"/>
      <c r="F108" s="8"/>
      <c r="G108" s="8"/>
    </row>
    <row r="109" customFormat="false" ht="15" hidden="false" customHeight="false" outlineLevel="0" collapsed="false">
      <c r="A109" s="14"/>
      <c r="B109" s="13"/>
      <c r="C109" s="13"/>
      <c r="D109" s="13"/>
      <c r="E109" s="13"/>
      <c r="F109" s="8"/>
      <c r="G109" s="8"/>
    </row>
    <row r="110" customFormat="false" ht="15" hidden="false" customHeight="false" outlineLevel="0" collapsed="false">
      <c r="A110" s="14"/>
      <c r="B110" s="13"/>
      <c r="C110" s="13"/>
      <c r="D110" s="13"/>
      <c r="E110" s="13"/>
      <c r="F110" s="8"/>
      <c r="G110" s="8"/>
    </row>
    <row r="111" customFormat="false" ht="15" hidden="false" customHeight="false" outlineLevel="0" collapsed="false">
      <c r="A111" s="14"/>
      <c r="B111" s="13"/>
      <c r="C111" s="13"/>
      <c r="D111" s="13"/>
      <c r="E111" s="13"/>
      <c r="F111" s="8"/>
      <c r="G111" s="8"/>
    </row>
    <row r="112" customFormat="false" ht="15" hidden="false" customHeight="false" outlineLevel="0" collapsed="false">
      <c r="A112" s="14"/>
      <c r="B112" s="13"/>
      <c r="C112" s="13"/>
      <c r="D112" s="13"/>
      <c r="E112" s="13"/>
      <c r="F112" s="8"/>
      <c r="G112" s="8"/>
    </row>
    <row r="113" customFormat="false" ht="15" hidden="false" customHeight="false" outlineLevel="0" collapsed="false">
      <c r="A113" s="14"/>
      <c r="B113" s="13"/>
      <c r="C113" s="13"/>
      <c r="D113" s="13"/>
      <c r="E113" s="13"/>
      <c r="F113" s="8"/>
      <c r="G113" s="8"/>
    </row>
    <row r="114" customFormat="false" ht="15" hidden="false" customHeight="false" outlineLevel="0" collapsed="false">
      <c r="A114" s="14"/>
      <c r="B114" s="13"/>
      <c r="C114" s="13"/>
      <c r="D114" s="13"/>
      <c r="E114" s="13"/>
      <c r="F114" s="8"/>
      <c r="G114" s="8"/>
    </row>
    <row r="115" customFormat="false" ht="15" hidden="false" customHeight="false" outlineLevel="0" collapsed="false">
      <c r="A115" s="14"/>
      <c r="B115" s="13"/>
      <c r="C115" s="13"/>
      <c r="D115" s="13"/>
      <c r="E115" s="13"/>
      <c r="F115" s="8"/>
      <c r="G115" s="8"/>
    </row>
    <row r="116" customFormat="false" ht="15" hidden="false" customHeight="false" outlineLevel="0" collapsed="false">
      <c r="A116" s="14"/>
      <c r="B116" s="13"/>
      <c r="C116" s="13"/>
      <c r="D116" s="13"/>
      <c r="E116" s="13"/>
      <c r="F116" s="8"/>
      <c r="G116" s="8"/>
    </row>
    <row r="117" customFormat="false" ht="15" hidden="false" customHeight="false" outlineLevel="0" collapsed="false">
      <c r="A117" s="14"/>
      <c r="B117" s="13"/>
      <c r="C117" s="13"/>
      <c r="D117" s="13"/>
      <c r="E117" s="13"/>
      <c r="F117" s="8"/>
      <c r="G117" s="8"/>
    </row>
    <row r="118" customFormat="false" ht="15" hidden="false" customHeight="false" outlineLevel="0" collapsed="false">
      <c r="A118" s="14"/>
      <c r="B118" s="13"/>
      <c r="C118" s="13"/>
      <c r="D118" s="13"/>
      <c r="E118" s="13"/>
      <c r="F118" s="8"/>
      <c r="G118" s="8"/>
    </row>
    <row r="119" customFormat="false" ht="15" hidden="false" customHeight="false" outlineLevel="0" collapsed="false">
      <c r="A119" s="14"/>
      <c r="B119" s="13"/>
      <c r="C119" s="13"/>
      <c r="D119" s="13"/>
      <c r="E119" s="13"/>
      <c r="F119" s="8"/>
      <c r="G119" s="8"/>
    </row>
    <row r="120" customFormat="false" ht="15" hidden="false" customHeight="false" outlineLevel="0" collapsed="false">
      <c r="A120" s="14"/>
      <c r="B120" s="13"/>
      <c r="C120" s="13"/>
      <c r="D120" s="13"/>
      <c r="E120" s="13"/>
      <c r="F120" s="8"/>
      <c r="G120" s="8"/>
    </row>
    <row r="121" customFormat="false" ht="15" hidden="false" customHeight="false" outlineLevel="0" collapsed="false">
      <c r="A121" s="14"/>
      <c r="B121" s="13"/>
      <c r="C121" s="13"/>
      <c r="D121" s="13"/>
      <c r="E121" s="13"/>
      <c r="F121" s="8"/>
      <c r="G121" s="8"/>
    </row>
    <row r="122" customFormat="false" ht="15" hidden="false" customHeight="false" outlineLevel="0" collapsed="false">
      <c r="A122" s="14"/>
      <c r="B122" s="13"/>
      <c r="C122" s="13"/>
      <c r="D122" s="13"/>
      <c r="E122" s="13"/>
      <c r="F122" s="8"/>
      <c r="G122" s="8"/>
    </row>
    <row r="123" customFormat="false" ht="15" hidden="false" customHeight="false" outlineLevel="0" collapsed="false">
      <c r="A123" s="14"/>
      <c r="B123" s="13"/>
      <c r="C123" s="13"/>
      <c r="D123" s="13"/>
      <c r="E123" s="13"/>
      <c r="F123" s="8"/>
      <c r="G123" s="8"/>
    </row>
    <row r="124" customFormat="false" ht="15" hidden="false" customHeight="false" outlineLevel="0" collapsed="false">
      <c r="A124" s="14"/>
      <c r="B124" s="13"/>
      <c r="C124" s="13"/>
      <c r="D124" s="13"/>
      <c r="E124" s="13"/>
      <c r="F124" s="8"/>
      <c r="G124" s="8"/>
    </row>
    <row r="125" customFormat="false" ht="15" hidden="false" customHeight="false" outlineLevel="0" collapsed="false">
      <c r="A125" s="14"/>
      <c r="B125" s="13"/>
      <c r="C125" s="13"/>
      <c r="D125" s="13"/>
      <c r="E125" s="13"/>
      <c r="F125" s="8"/>
      <c r="G125" s="8"/>
    </row>
    <row r="126" customFormat="false" ht="15" hidden="false" customHeight="false" outlineLevel="0" collapsed="false">
      <c r="A126" s="14"/>
      <c r="B126" s="13"/>
      <c r="C126" s="13"/>
      <c r="D126" s="13"/>
      <c r="E126" s="13"/>
      <c r="F126" s="8"/>
      <c r="G126" s="8"/>
    </row>
    <row r="127" customFormat="false" ht="15" hidden="false" customHeight="false" outlineLevel="0" collapsed="false">
      <c r="A127" s="14"/>
      <c r="B127" s="13"/>
      <c r="C127" s="13"/>
      <c r="D127" s="13"/>
      <c r="E127" s="13"/>
      <c r="F127" s="8"/>
      <c r="G127" s="8"/>
    </row>
    <row r="128" customFormat="false" ht="15" hidden="false" customHeight="false" outlineLevel="0" collapsed="false">
      <c r="A128" s="14"/>
      <c r="B128" s="13"/>
      <c r="C128" s="13"/>
      <c r="D128" s="13"/>
      <c r="E128" s="13"/>
      <c r="F128" s="8"/>
      <c r="G128" s="8"/>
    </row>
    <row r="129" customFormat="false" ht="15" hidden="false" customHeight="false" outlineLevel="0" collapsed="false">
      <c r="A129" s="14"/>
      <c r="B129" s="13"/>
      <c r="C129" s="13"/>
      <c r="D129" s="13"/>
      <c r="E129" s="13"/>
      <c r="F129" s="8"/>
      <c r="G129" s="8"/>
    </row>
    <row r="130" customFormat="false" ht="15" hidden="false" customHeight="false" outlineLevel="0" collapsed="false">
      <c r="A130" s="14"/>
      <c r="B130" s="13"/>
      <c r="C130" s="13"/>
      <c r="D130" s="13"/>
      <c r="E130" s="13"/>
      <c r="F130" s="8"/>
      <c r="G130" s="8"/>
    </row>
    <row r="131" customFormat="false" ht="15" hidden="false" customHeight="false" outlineLevel="0" collapsed="false">
      <c r="A131" s="14"/>
      <c r="B131" s="13"/>
      <c r="C131" s="13"/>
      <c r="D131" s="13"/>
      <c r="E131" s="13"/>
      <c r="F131" s="8"/>
      <c r="G131" s="8"/>
    </row>
    <row r="132" customFormat="false" ht="15" hidden="false" customHeight="false" outlineLevel="0" collapsed="false">
      <c r="A132" s="14"/>
      <c r="B132" s="13"/>
      <c r="C132" s="13"/>
      <c r="D132" s="13"/>
      <c r="E132" s="13"/>
      <c r="F132" s="8"/>
      <c r="G132" s="8"/>
    </row>
    <row r="133" customFormat="false" ht="15" hidden="false" customHeight="false" outlineLevel="0" collapsed="false">
      <c r="A133" s="14"/>
      <c r="B133" s="13"/>
      <c r="C133" s="13"/>
      <c r="D133" s="13"/>
      <c r="E133" s="13"/>
      <c r="F133" s="8"/>
      <c r="G133" s="8"/>
    </row>
    <row r="134" customFormat="false" ht="15" hidden="false" customHeight="false" outlineLevel="0" collapsed="false">
      <c r="A134" s="14"/>
      <c r="B134" s="13"/>
      <c r="C134" s="13"/>
      <c r="D134" s="13"/>
      <c r="E134" s="13"/>
      <c r="F134" s="8"/>
      <c r="G134" s="8"/>
    </row>
    <row r="135" customFormat="false" ht="15" hidden="false" customHeight="false" outlineLevel="0" collapsed="false">
      <c r="A135" s="14"/>
      <c r="B135" s="13"/>
      <c r="C135" s="13"/>
      <c r="D135" s="13"/>
      <c r="E135" s="13"/>
      <c r="F135" s="8"/>
      <c r="G135" s="8"/>
    </row>
    <row r="136" customFormat="false" ht="15" hidden="false" customHeight="false" outlineLevel="0" collapsed="false">
      <c r="A136" s="14"/>
      <c r="B136" s="13"/>
      <c r="C136" s="13"/>
      <c r="D136" s="13"/>
      <c r="E136" s="13"/>
      <c r="F136" s="8"/>
      <c r="G136" s="8"/>
    </row>
    <row r="137" customFormat="false" ht="15" hidden="false" customHeight="false" outlineLevel="0" collapsed="false">
      <c r="A137" s="14"/>
      <c r="B137" s="13"/>
      <c r="C137" s="13"/>
      <c r="D137" s="13"/>
      <c r="E137" s="13"/>
      <c r="F137" s="8"/>
      <c r="G137" s="8"/>
    </row>
    <row r="138" customFormat="false" ht="15" hidden="false" customHeight="false" outlineLevel="0" collapsed="false">
      <c r="A138" s="14"/>
      <c r="B138" s="13"/>
      <c r="C138" s="13"/>
      <c r="D138" s="13"/>
      <c r="E138" s="13"/>
      <c r="F138" s="8"/>
      <c r="G138" s="8"/>
    </row>
    <row r="139" customFormat="false" ht="15" hidden="false" customHeight="false" outlineLevel="0" collapsed="false">
      <c r="A139" s="14"/>
      <c r="B139" s="13"/>
      <c r="C139" s="13"/>
      <c r="D139" s="13"/>
      <c r="E139" s="13"/>
      <c r="F139" s="8"/>
      <c r="G139" s="8"/>
    </row>
    <row r="140" customFormat="false" ht="15" hidden="false" customHeight="false" outlineLevel="0" collapsed="false">
      <c r="A140" s="14"/>
      <c r="B140" s="13"/>
      <c r="C140" s="13"/>
      <c r="D140" s="13"/>
      <c r="E140" s="13"/>
      <c r="F140" s="8"/>
      <c r="G140" s="8"/>
    </row>
    <row r="141" customFormat="false" ht="15" hidden="false" customHeight="false" outlineLevel="0" collapsed="false">
      <c r="A141" s="14"/>
      <c r="B141" s="13"/>
      <c r="C141" s="13"/>
      <c r="D141" s="13"/>
      <c r="E141" s="13"/>
      <c r="F141" s="8"/>
      <c r="G141" s="8"/>
    </row>
    <row r="142" customFormat="false" ht="15" hidden="false" customHeight="false" outlineLevel="0" collapsed="false">
      <c r="A142" s="14"/>
      <c r="B142" s="13"/>
      <c r="C142" s="13"/>
      <c r="D142" s="13"/>
      <c r="E142" s="13"/>
      <c r="F142" s="8"/>
      <c r="G142" s="8"/>
    </row>
    <row r="143" customFormat="false" ht="15" hidden="false" customHeight="false" outlineLevel="0" collapsed="false">
      <c r="A143" s="14"/>
      <c r="B143" s="13"/>
      <c r="C143" s="13"/>
      <c r="D143" s="13"/>
      <c r="E143" s="13"/>
      <c r="F143" s="8"/>
      <c r="G143" s="8"/>
    </row>
    <row r="144" customFormat="false" ht="15" hidden="false" customHeight="false" outlineLevel="0" collapsed="false">
      <c r="A144" s="14"/>
      <c r="B144" s="13"/>
      <c r="C144" s="13"/>
      <c r="D144" s="13"/>
      <c r="E144" s="13"/>
      <c r="F144" s="8"/>
      <c r="G144" s="8"/>
    </row>
    <row r="145" customFormat="false" ht="15" hidden="false" customHeight="false" outlineLevel="0" collapsed="false">
      <c r="A145" s="14"/>
      <c r="B145" s="13"/>
      <c r="C145" s="13"/>
      <c r="D145" s="13"/>
      <c r="E145" s="13"/>
      <c r="F145" s="8"/>
      <c r="G145" s="8"/>
    </row>
    <row r="146" customFormat="false" ht="15" hidden="false" customHeight="false" outlineLevel="0" collapsed="false">
      <c r="A146" s="14"/>
      <c r="B146" s="13"/>
      <c r="C146" s="13"/>
      <c r="D146" s="13"/>
      <c r="E146" s="13"/>
      <c r="F146" s="8"/>
      <c r="G146" s="8"/>
    </row>
    <row r="147" customFormat="false" ht="15" hidden="false" customHeight="false" outlineLevel="0" collapsed="false">
      <c r="A147" s="14"/>
      <c r="B147" s="13"/>
      <c r="C147" s="13"/>
      <c r="D147" s="13"/>
      <c r="E147" s="13"/>
      <c r="F147" s="8"/>
      <c r="G147" s="8"/>
    </row>
    <row r="148" customFormat="false" ht="15" hidden="false" customHeight="false" outlineLevel="0" collapsed="false">
      <c r="A148" s="14"/>
      <c r="B148" s="13"/>
      <c r="C148" s="13"/>
      <c r="D148" s="13"/>
      <c r="E148" s="13"/>
      <c r="F148" s="8"/>
      <c r="G148" s="8"/>
    </row>
    <row r="149" customFormat="false" ht="15" hidden="false" customHeight="false" outlineLevel="0" collapsed="false">
      <c r="A149" s="14"/>
      <c r="B149" s="13"/>
      <c r="C149" s="13"/>
      <c r="D149" s="13"/>
      <c r="E149" s="13"/>
      <c r="F149" s="8"/>
      <c r="G149" s="8"/>
    </row>
    <row r="150" customFormat="false" ht="15" hidden="false" customHeight="false" outlineLevel="0" collapsed="false">
      <c r="A150" s="14"/>
      <c r="B150" s="13"/>
      <c r="C150" s="13"/>
      <c r="D150" s="13"/>
      <c r="E150" s="13"/>
      <c r="F150" s="8"/>
      <c r="G150" s="8"/>
    </row>
    <row r="151" customFormat="false" ht="15" hidden="false" customHeight="false" outlineLevel="0" collapsed="false">
      <c r="A151" s="14"/>
      <c r="B151" s="13"/>
      <c r="C151" s="13"/>
      <c r="D151" s="13"/>
      <c r="E151" s="13"/>
      <c r="F151" s="8"/>
      <c r="G151" s="8"/>
    </row>
    <row r="152" customFormat="false" ht="15" hidden="false" customHeight="false" outlineLevel="0" collapsed="false">
      <c r="A152" s="14"/>
      <c r="B152" s="13"/>
      <c r="C152" s="13"/>
      <c r="D152" s="13"/>
      <c r="E152" s="13"/>
      <c r="F152" s="8"/>
      <c r="G152" s="8"/>
    </row>
    <row r="153" customFormat="false" ht="15" hidden="false" customHeight="false" outlineLevel="0" collapsed="false">
      <c r="A153" s="14"/>
      <c r="B153" s="13"/>
      <c r="C153" s="13"/>
      <c r="D153" s="13"/>
      <c r="E153" s="13"/>
      <c r="F153" s="8"/>
      <c r="G153" s="8"/>
    </row>
    <row r="154" customFormat="false" ht="15" hidden="false" customHeight="false" outlineLevel="0" collapsed="false">
      <c r="A154" s="14"/>
      <c r="B154" s="13"/>
      <c r="C154" s="13"/>
      <c r="D154" s="13"/>
      <c r="E154" s="13"/>
      <c r="F154" s="8"/>
      <c r="G154" s="8"/>
    </row>
    <row r="155" customFormat="false" ht="15" hidden="false" customHeight="false" outlineLevel="0" collapsed="false">
      <c r="A155" s="14"/>
      <c r="B155" s="13"/>
      <c r="C155" s="13"/>
      <c r="D155" s="13"/>
      <c r="E155" s="13"/>
      <c r="F155" s="8"/>
      <c r="G155" s="8"/>
    </row>
    <row r="156" customFormat="false" ht="15" hidden="false" customHeight="false" outlineLevel="0" collapsed="false">
      <c r="A156" s="14"/>
      <c r="B156" s="13"/>
      <c r="C156" s="13"/>
      <c r="D156" s="13"/>
      <c r="E156" s="13"/>
      <c r="F156" s="8"/>
      <c r="G156" s="8"/>
    </row>
    <row r="157" customFormat="false" ht="15" hidden="false" customHeight="false" outlineLevel="0" collapsed="false">
      <c r="A157" s="14"/>
      <c r="B157" s="13"/>
      <c r="C157" s="13"/>
      <c r="D157" s="13"/>
      <c r="E157" s="13"/>
      <c r="F157" s="8"/>
      <c r="G157" s="8"/>
    </row>
    <row r="158" customFormat="false" ht="15" hidden="false" customHeight="false" outlineLevel="0" collapsed="false">
      <c r="A158" s="14"/>
      <c r="B158" s="13"/>
      <c r="C158" s="13"/>
      <c r="D158" s="13"/>
      <c r="E158" s="13"/>
      <c r="F158" s="8"/>
      <c r="G158" s="8"/>
    </row>
    <row r="159" customFormat="false" ht="15" hidden="false" customHeight="false" outlineLevel="0" collapsed="false">
      <c r="A159" s="14"/>
      <c r="B159" s="13"/>
      <c r="C159" s="13"/>
      <c r="D159" s="13"/>
      <c r="E159" s="13"/>
      <c r="F159" s="8"/>
      <c r="G159" s="8"/>
    </row>
    <row r="160" customFormat="false" ht="15" hidden="false" customHeight="false" outlineLevel="0" collapsed="false">
      <c r="A160" s="14"/>
      <c r="B160" s="13"/>
      <c r="C160" s="13"/>
      <c r="D160" s="13"/>
      <c r="E160" s="13"/>
      <c r="F160" s="8"/>
      <c r="G160" s="8"/>
    </row>
    <row r="161" customFormat="false" ht="15" hidden="false" customHeight="false" outlineLevel="0" collapsed="false">
      <c r="A161" s="14"/>
      <c r="B161" s="13"/>
      <c r="C161" s="13"/>
      <c r="D161" s="13"/>
      <c r="E161" s="13"/>
      <c r="F161" s="8"/>
      <c r="G161" s="8"/>
    </row>
    <row r="162" customFormat="false" ht="15" hidden="false" customHeight="false" outlineLevel="0" collapsed="false">
      <c r="A162" s="14"/>
      <c r="B162" s="13"/>
      <c r="C162" s="13"/>
      <c r="D162" s="13"/>
      <c r="E162" s="13"/>
      <c r="F162" s="8"/>
      <c r="G162" s="8"/>
    </row>
    <row r="163" customFormat="false" ht="15" hidden="false" customHeight="false" outlineLevel="0" collapsed="false">
      <c r="A163" s="14"/>
      <c r="B163" s="13"/>
      <c r="C163" s="13"/>
      <c r="D163" s="13"/>
      <c r="E163" s="13"/>
      <c r="F163" s="8"/>
      <c r="G163" s="8"/>
    </row>
    <row r="164" customFormat="false" ht="15" hidden="false" customHeight="false" outlineLevel="0" collapsed="false">
      <c r="A164" s="14"/>
      <c r="B164" s="13"/>
      <c r="C164" s="13"/>
      <c r="D164" s="13"/>
      <c r="E164" s="13"/>
      <c r="F164" s="8"/>
      <c r="G164" s="8"/>
    </row>
    <row r="165" customFormat="false" ht="15" hidden="false" customHeight="false" outlineLevel="0" collapsed="false">
      <c r="A165" s="14"/>
      <c r="B165" s="13"/>
      <c r="C165" s="13"/>
      <c r="D165" s="13"/>
      <c r="E165" s="13"/>
      <c r="F165" s="8"/>
      <c r="G165" s="8"/>
    </row>
    <row r="166" customFormat="false" ht="15" hidden="false" customHeight="false" outlineLevel="0" collapsed="false">
      <c r="A166" s="14"/>
      <c r="B166" s="13"/>
      <c r="C166" s="13"/>
      <c r="D166" s="13"/>
      <c r="E166" s="13"/>
      <c r="F166" s="8"/>
      <c r="G166" s="8"/>
    </row>
    <row r="167" customFormat="false" ht="15" hidden="false" customHeight="false" outlineLevel="0" collapsed="false">
      <c r="A167" s="14"/>
      <c r="B167" s="13"/>
      <c r="C167" s="13"/>
      <c r="D167" s="13"/>
      <c r="E167" s="13"/>
      <c r="F167" s="8"/>
      <c r="G167" s="8"/>
    </row>
    <row r="168" customFormat="false" ht="15" hidden="false" customHeight="false" outlineLevel="0" collapsed="false">
      <c r="A168" s="14"/>
      <c r="B168" s="13"/>
      <c r="C168" s="13"/>
      <c r="D168" s="13"/>
      <c r="E168" s="13"/>
      <c r="F168" s="8"/>
      <c r="G168" s="8"/>
    </row>
    <row r="169" customFormat="false" ht="15" hidden="false" customHeight="false" outlineLevel="0" collapsed="false">
      <c r="A169" s="14"/>
      <c r="B169" s="13"/>
      <c r="C169" s="13"/>
      <c r="D169" s="13"/>
      <c r="E169" s="13"/>
      <c r="F169" s="8"/>
      <c r="G169" s="8"/>
    </row>
    <row r="170" customFormat="false" ht="15" hidden="false" customHeight="false" outlineLevel="0" collapsed="false">
      <c r="A170" s="14"/>
      <c r="B170" s="13"/>
      <c r="C170" s="13"/>
      <c r="D170" s="13"/>
      <c r="E170" s="13"/>
      <c r="F170" s="8"/>
      <c r="G170" s="8"/>
    </row>
    <row r="171" customFormat="false" ht="15" hidden="false" customHeight="false" outlineLevel="0" collapsed="false">
      <c r="A171" s="14"/>
      <c r="B171" s="13"/>
      <c r="C171" s="13"/>
      <c r="D171" s="13"/>
      <c r="E171" s="13"/>
      <c r="F171" s="8"/>
      <c r="G171" s="8"/>
    </row>
    <row r="172" customFormat="false" ht="15" hidden="false" customHeight="false" outlineLevel="0" collapsed="false">
      <c r="A172" s="14"/>
      <c r="B172" s="13"/>
      <c r="C172" s="13"/>
      <c r="D172" s="13"/>
      <c r="E172" s="13"/>
      <c r="F172" s="8"/>
      <c r="G172" s="8"/>
    </row>
    <row r="173" customFormat="false" ht="15" hidden="false" customHeight="false" outlineLevel="0" collapsed="false">
      <c r="A173" s="14"/>
      <c r="B173" s="13"/>
      <c r="C173" s="13"/>
      <c r="D173" s="13"/>
      <c r="E173" s="13"/>
      <c r="F173" s="8"/>
      <c r="G173" s="8"/>
    </row>
    <row r="174" customFormat="false" ht="15" hidden="false" customHeight="false" outlineLevel="0" collapsed="false">
      <c r="A174" s="14"/>
      <c r="B174" s="13"/>
      <c r="C174" s="13"/>
      <c r="D174" s="13"/>
      <c r="E174" s="13"/>
      <c r="F174" s="8"/>
      <c r="G174" s="8"/>
    </row>
    <row r="175" customFormat="false" ht="15" hidden="false" customHeight="false" outlineLevel="0" collapsed="false">
      <c r="A175" s="14"/>
      <c r="B175" s="13"/>
      <c r="C175" s="13"/>
      <c r="D175" s="13"/>
      <c r="E175" s="13"/>
      <c r="F175" s="8"/>
      <c r="G175" s="8"/>
    </row>
    <row r="176" customFormat="false" ht="15" hidden="false" customHeight="false" outlineLevel="0" collapsed="false">
      <c r="A176" s="14"/>
      <c r="B176" s="13"/>
      <c r="C176" s="13"/>
      <c r="D176" s="13"/>
      <c r="E176" s="13"/>
      <c r="F176" s="8"/>
      <c r="G176" s="8"/>
    </row>
    <row r="177" customFormat="false" ht="15" hidden="false" customHeight="false" outlineLevel="0" collapsed="false">
      <c r="A177" s="14"/>
      <c r="B177" s="13"/>
      <c r="C177" s="13"/>
      <c r="D177" s="13"/>
      <c r="E177" s="13"/>
      <c r="F177" s="8"/>
      <c r="G177" s="8"/>
    </row>
    <row r="178" customFormat="false" ht="15" hidden="false" customHeight="false" outlineLevel="0" collapsed="false">
      <c r="A178" s="14"/>
      <c r="B178" s="13"/>
      <c r="C178" s="13"/>
      <c r="D178" s="13"/>
      <c r="E178" s="13"/>
      <c r="F178" s="8"/>
      <c r="G178" s="8"/>
    </row>
    <row r="179" customFormat="false" ht="15" hidden="false" customHeight="false" outlineLevel="0" collapsed="false">
      <c r="A179" s="14"/>
      <c r="B179" s="13"/>
      <c r="C179" s="13"/>
      <c r="D179" s="13"/>
      <c r="E179" s="13"/>
      <c r="F179" s="8"/>
      <c r="G179" s="8"/>
    </row>
    <row r="180" customFormat="false" ht="15" hidden="false" customHeight="false" outlineLevel="0" collapsed="false">
      <c r="A180" s="14"/>
      <c r="B180" s="13"/>
      <c r="C180" s="13"/>
      <c r="D180" s="13"/>
      <c r="E180" s="13"/>
      <c r="F180" s="8"/>
      <c r="G180" s="8"/>
    </row>
    <row r="181" customFormat="false" ht="15" hidden="false" customHeight="false" outlineLevel="0" collapsed="false">
      <c r="A181" s="14"/>
      <c r="B181" s="13"/>
      <c r="C181" s="13"/>
      <c r="D181" s="13"/>
      <c r="E181" s="13"/>
      <c r="F181" s="8"/>
      <c r="G181" s="8"/>
    </row>
    <row r="182" customFormat="false" ht="15" hidden="false" customHeight="false" outlineLevel="0" collapsed="false">
      <c r="A182" s="14"/>
      <c r="B182" s="13"/>
      <c r="C182" s="13"/>
      <c r="D182" s="13"/>
      <c r="E182" s="13"/>
      <c r="F182" s="8"/>
      <c r="G182" s="8"/>
    </row>
    <row r="183" customFormat="false" ht="15" hidden="false" customHeight="false" outlineLevel="0" collapsed="false">
      <c r="A183" s="14"/>
      <c r="B183" s="13"/>
      <c r="C183" s="13"/>
      <c r="D183" s="13"/>
      <c r="E183" s="13"/>
      <c r="F183" s="8"/>
      <c r="G183" s="8"/>
    </row>
    <row r="184" customFormat="false" ht="15" hidden="false" customHeight="false" outlineLevel="0" collapsed="false">
      <c r="A184" s="14"/>
      <c r="B184" s="13"/>
      <c r="C184" s="13"/>
      <c r="D184" s="13"/>
      <c r="E184" s="13"/>
      <c r="F184" s="8"/>
      <c r="G184" s="8"/>
    </row>
    <row r="185" customFormat="false" ht="15" hidden="false" customHeight="false" outlineLevel="0" collapsed="false">
      <c r="A185" s="14"/>
      <c r="B185" s="13"/>
      <c r="C185" s="13"/>
      <c r="D185" s="13"/>
      <c r="E185" s="13"/>
      <c r="F185" s="8"/>
      <c r="G185" s="8"/>
    </row>
    <row r="186" customFormat="false" ht="15" hidden="false" customHeight="false" outlineLevel="0" collapsed="false">
      <c r="A186" s="14"/>
      <c r="B186" s="13"/>
      <c r="C186" s="13"/>
      <c r="D186" s="13"/>
      <c r="E186" s="13"/>
      <c r="F186" s="8"/>
      <c r="G186" s="8"/>
    </row>
    <row r="187" customFormat="false" ht="15" hidden="false" customHeight="false" outlineLevel="0" collapsed="false">
      <c r="A187" s="14"/>
      <c r="B187" s="13"/>
      <c r="C187" s="13"/>
      <c r="D187" s="13"/>
      <c r="E187" s="13"/>
      <c r="F187" s="8"/>
      <c r="G187" s="8"/>
    </row>
    <row r="188" customFormat="false" ht="15" hidden="false" customHeight="false" outlineLevel="0" collapsed="false">
      <c r="A188" s="14"/>
      <c r="B188" s="13"/>
      <c r="C188" s="13"/>
      <c r="D188" s="13"/>
      <c r="E188" s="13"/>
      <c r="F188" s="8"/>
      <c r="G188" s="8"/>
    </row>
    <row r="189" customFormat="false" ht="15" hidden="false" customHeight="false" outlineLevel="0" collapsed="false">
      <c r="A189" s="14"/>
      <c r="B189" s="13"/>
      <c r="C189" s="13"/>
      <c r="D189" s="13"/>
      <c r="E189" s="13"/>
      <c r="F189" s="8"/>
      <c r="G189" s="8"/>
    </row>
    <row r="190" customFormat="false" ht="15" hidden="false" customHeight="false" outlineLevel="0" collapsed="false">
      <c r="A190" s="14"/>
      <c r="B190" s="13"/>
      <c r="C190" s="13"/>
      <c r="D190" s="13"/>
      <c r="E190" s="13"/>
      <c r="F190" s="8"/>
      <c r="G190" s="8"/>
    </row>
    <row r="191" customFormat="false" ht="15" hidden="false" customHeight="false" outlineLevel="0" collapsed="false">
      <c r="A191" s="14"/>
      <c r="B191" s="13"/>
      <c r="C191" s="13"/>
      <c r="D191" s="13"/>
      <c r="E191" s="13"/>
      <c r="F191" s="8"/>
      <c r="G191" s="8"/>
    </row>
    <row r="192" customFormat="false" ht="15" hidden="false" customHeight="false" outlineLevel="0" collapsed="false">
      <c r="A192" s="14"/>
      <c r="B192" s="13"/>
      <c r="C192" s="13"/>
      <c r="D192" s="13"/>
      <c r="E192" s="13"/>
      <c r="F192" s="8"/>
      <c r="G192" s="8"/>
    </row>
    <row r="193" customFormat="false" ht="15" hidden="false" customHeight="false" outlineLevel="0" collapsed="false">
      <c r="A193" s="14"/>
      <c r="B193" s="13"/>
      <c r="C193" s="13"/>
      <c r="D193" s="13"/>
      <c r="E193" s="13"/>
      <c r="F193" s="8"/>
      <c r="G193" s="8"/>
    </row>
    <row r="194" customFormat="false" ht="15" hidden="false" customHeight="false" outlineLevel="0" collapsed="false">
      <c r="A194" s="14"/>
      <c r="B194" s="13"/>
      <c r="C194" s="13"/>
      <c r="D194" s="13"/>
      <c r="E194" s="13"/>
      <c r="F194" s="8"/>
      <c r="G194" s="8"/>
    </row>
    <row r="195" customFormat="false" ht="15" hidden="false" customHeight="false" outlineLevel="0" collapsed="false">
      <c r="A195" s="14"/>
      <c r="B195" s="13"/>
      <c r="C195" s="13"/>
      <c r="D195" s="13"/>
      <c r="E195" s="13"/>
      <c r="F195" s="8"/>
      <c r="G195" s="8"/>
    </row>
    <row r="196" customFormat="false" ht="15" hidden="false" customHeight="false" outlineLevel="0" collapsed="false">
      <c r="A196" s="14"/>
      <c r="B196" s="13"/>
      <c r="C196" s="13"/>
      <c r="D196" s="13"/>
      <c r="E196" s="13"/>
      <c r="F196" s="8"/>
      <c r="G196" s="8"/>
    </row>
    <row r="197" customFormat="false" ht="15" hidden="false" customHeight="false" outlineLevel="0" collapsed="false">
      <c r="A197" s="14"/>
      <c r="B197" s="13"/>
      <c r="C197" s="13"/>
      <c r="D197" s="13"/>
      <c r="E197" s="13"/>
      <c r="F197" s="8"/>
      <c r="G197" s="8"/>
    </row>
    <row r="198" customFormat="false" ht="15" hidden="false" customHeight="false" outlineLevel="0" collapsed="false">
      <c r="A198" s="14"/>
      <c r="B198" s="13"/>
      <c r="C198" s="13"/>
      <c r="D198" s="13"/>
      <c r="E198" s="13"/>
      <c r="F198" s="8"/>
      <c r="G198" s="8"/>
    </row>
    <row r="199" customFormat="false" ht="15" hidden="false" customHeight="false" outlineLevel="0" collapsed="false">
      <c r="A199" s="14"/>
      <c r="B199" s="13"/>
      <c r="C199" s="13"/>
      <c r="D199" s="13"/>
      <c r="E199" s="13"/>
      <c r="F199" s="8"/>
      <c r="G199" s="8"/>
    </row>
    <row r="200" customFormat="false" ht="15" hidden="false" customHeight="false" outlineLevel="0" collapsed="false">
      <c r="A200" s="14"/>
      <c r="B200" s="13"/>
      <c r="C200" s="13"/>
      <c r="D200" s="13"/>
      <c r="E200" s="13"/>
      <c r="F200" s="8"/>
      <c r="G200" s="8"/>
    </row>
    <row r="201" customFormat="false" ht="15" hidden="false" customHeight="false" outlineLevel="0" collapsed="false">
      <c r="A201" s="14"/>
      <c r="B201" s="13"/>
      <c r="C201" s="13"/>
      <c r="D201" s="13"/>
      <c r="E201" s="13"/>
      <c r="F201" s="8"/>
      <c r="G201" s="8"/>
    </row>
    <row r="202" customFormat="false" ht="15" hidden="false" customHeight="false" outlineLevel="0" collapsed="false">
      <c r="A202" s="14"/>
      <c r="B202" s="13"/>
      <c r="C202" s="13"/>
      <c r="D202" s="13"/>
      <c r="E202" s="13"/>
      <c r="F202" s="8"/>
      <c r="G202" s="8"/>
    </row>
    <row r="203" customFormat="false" ht="15" hidden="false" customHeight="false" outlineLevel="0" collapsed="false">
      <c r="A203" s="14"/>
      <c r="B203" s="13"/>
      <c r="C203" s="13"/>
      <c r="D203" s="13"/>
      <c r="E203" s="13"/>
      <c r="F203" s="8"/>
      <c r="G203" s="8"/>
    </row>
    <row r="204" customFormat="false" ht="15" hidden="false" customHeight="false" outlineLevel="0" collapsed="false">
      <c r="A204" s="14"/>
      <c r="B204" s="13"/>
      <c r="C204" s="13"/>
      <c r="D204" s="13"/>
      <c r="E204" s="13"/>
      <c r="F204" s="8"/>
      <c r="G204" s="8"/>
    </row>
    <row r="205" customFormat="false" ht="15" hidden="false" customHeight="false" outlineLevel="0" collapsed="false">
      <c r="A205" s="14"/>
      <c r="B205" s="13"/>
      <c r="C205" s="13"/>
      <c r="D205" s="13"/>
      <c r="E205" s="13"/>
      <c r="F205" s="8"/>
      <c r="G205" s="8"/>
    </row>
    <row r="206" customFormat="false" ht="15" hidden="false" customHeight="false" outlineLevel="0" collapsed="false">
      <c r="A206" s="14"/>
      <c r="B206" s="13"/>
      <c r="C206" s="13"/>
      <c r="D206" s="13"/>
      <c r="E206" s="13"/>
      <c r="F206" s="8"/>
      <c r="G206" s="8"/>
    </row>
    <row r="207" customFormat="false" ht="15" hidden="false" customHeight="false" outlineLevel="0" collapsed="false">
      <c r="A207" s="14"/>
      <c r="B207" s="13"/>
      <c r="C207" s="13"/>
      <c r="D207" s="13"/>
      <c r="E207" s="13"/>
      <c r="F207" s="8"/>
      <c r="G207" s="8"/>
    </row>
    <row r="208" customFormat="false" ht="15" hidden="false" customHeight="false" outlineLevel="0" collapsed="false">
      <c r="A208" s="14"/>
      <c r="B208" s="13"/>
      <c r="C208" s="13"/>
      <c r="D208" s="13"/>
      <c r="E208" s="13"/>
      <c r="F208" s="8"/>
      <c r="G208" s="8"/>
    </row>
    <row r="209" customFormat="false" ht="15" hidden="false" customHeight="false" outlineLevel="0" collapsed="false">
      <c r="A209" s="14"/>
      <c r="B209" s="13"/>
      <c r="C209" s="13"/>
      <c r="D209" s="13"/>
      <c r="E209" s="13"/>
      <c r="F209" s="8"/>
      <c r="G209" s="8"/>
    </row>
    <row r="210" customFormat="false" ht="15" hidden="false" customHeight="false" outlineLevel="0" collapsed="false">
      <c r="A210" s="14"/>
      <c r="B210" s="13"/>
      <c r="C210" s="13"/>
      <c r="D210" s="13"/>
      <c r="E210" s="13"/>
      <c r="F210" s="8"/>
      <c r="G210" s="8"/>
    </row>
    <row r="211" customFormat="false" ht="15" hidden="false" customHeight="false" outlineLevel="0" collapsed="false">
      <c r="A211" s="14"/>
      <c r="B211" s="13"/>
      <c r="C211" s="13"/>
      <c r="D211" s="13"/>
      <c r="E211" s="13"/>
      <c r="F211" s="8"/>
      <c r="G211" s="8"/>
    </row>
    <row r="212" customFormat="false" ht="15" hidden="false" customHeight="false" outlineLevel="0" collapsed="false">
      <c r="A212" s="14"/>
      <c r="B212" s="13"/>
      <c r="C212" s="13"/>
      <c r="D212" s="13"/>
      <c r="E212" s="13"/>
      <c r="F212" s="8"/>
      <c r="G212" s="8"/>
    </row>
    <row r="213" customFormat="false" ht="15" hidden="false" customHeight="false" outlineLevel="0" collapsed="false">
      <c r="A213" s="14"/>
      <c r="B213" s="13"/>
      <c r="C213" s="13"/>
      <c r="D213" s="13"/>
      <c r="E213" s="13"/>
      <c r="F213" s="8"/>
      <c r="G213" s="8"/>
    </row>
    <row r="214" customFormat="false" ht="15" hidden="false" customHeight="false" outlineLevel="0" collapsed="false">
      <c r="A214" s="14"/>
      <c r="B214" s="13"/>
      <c r="C214" s="13"/>
      <c r="D214" s="13"/>
      <c r="E214" s="13"/>
      <c r="F214" s="8"/>
      <c r="G214" s="8"/>
    </row>
    <row r="215" customFormat="false" ht="15" hidden="false" customHeight="false" outlineLevel="0" collapsed="false">
      <c r="A215" s="14"/>
      <c r="B215" s="13"/>
      <c r="C215" s="13"/>
      <c r="D215" s="13"/>
      <c r="E215" s="13"/>
      <c r="F215" s="8"/>
      <c r="G215" s="8"/>
    </row>
    <row r="216" customFormat="false" ht="15" hidden="false" customHeight="false" outlineLevel="0" collapsed="false">
      <c r="A216" s="14"/>
      <c r="B216" s="13"/>
      <c r="C216" s="13"/>
      <c r="D216" s="13"/>
      <c r="E216" s="13"/>
      <c r="F216" s="8"/>
      <c r="G216" s="8"/>
    </row>
    <row r="217" customFormat="false" ht="15" hidden="false" customHeight="false" outlineLevel="0" collapsed="false">
      <c r="A217" s="14"/>
      <c r="B217" s="13"/>
      <c r="C217" s="13"/>
      <c r="D217" s="13"/>
      <c r="E217" s="13"/>
      <c r="F217" s="8"/>
      <c r="G217" s="8"/>
    </row>
    <row r="218" customFormat="false" ht="15" hidden="false" customHeight="false" outlineLevel="0" collapsed="false">
      <c r="A218" s="14"/>
      <c r="B218" s="13"/>
      <c r="C218" s="13"/>
      <c r="D218" s="13"/>
      <c r="E218" s="13"/>
      <c r="F218" s="8"/>
      <c r="G218" s="8"/>
    </row>
    <row r="219" customFormat="false" ht="15" hidden="false" customHeight="false" outlineLevel="0" collapsed="false">
      <c r="A219" s="14"/>
      <c r="B219" s="13"/>
      <c r="C219" s="13"/>
      <c r="D219" s="13"/>
      <c r="E219" s="13"/>
      <c r="F219" s="8"/>
      <c r="G219" s="8"/>
    </row>
    <row r="220" customFormat="false" ht="15" hidden="false" customHeight="false" outlineLevel="0" collapsed="false">
      <c r="A220" s="14"/>
      <c r="B220" s="13"/>
      <c r="C220" s="13"/>
      <c r="D220" s="13"/>
      <c r="E220" s="13"/>
      <c r="F220" s="8"/>
      <c r="G220" s="8"/>
    </row>
    <row r="221" customFormat="false" ht="15" hidden="false" customHeight="false" outlineLevel="0" collapsed="false">
      <c r="A221" s="14"/>
      <c r="B221" s="13"/>
      <c r="C221" s="13"/>
      <c r="D221" s="13"/>
      <c r="E221" s="13"/>
      <c r="F221" s="8"/>
      <c r="G221" s="8"/>
    </row>
    <row r="222" customFormat="false" ht="15" hidden="false" customHeight="false" outlineLevel="0" collapsed="false">
      <c r="A222" s="14"/>
      <c r="B222" s="13"/>
      <c r="C222" s="13"/>
      <c r="D222" s="13"/>
      <c r="E222" s="13"/>
      <c r="F222" s="8"/>
      <c r="G222" s="8"/>
    </row>
    <row r="223" customFormat="false" ht="15" hidden="false" customHeight="false" outlineLevel="0" collapsed="false">
      <c r="A223" s="14"/>
      <c r="B223" s="13"/>
      <c r="C223" s="13"/>
      <c r="D223" s="13"/>
      <c r="E223" s="13"/>
      <c r="F223" s="8"/>
      <c r="G223" s="8"/>
    </row>
    <row r="224" customFormat="false" ht="15" hidden="false" customHeight="false" outlineLevel="0" collapsed="false">
      <c r="A224" s="14"/>
      <c r="B224" s="13"/>
      <c r="C224" s="13"/>
      <c r="D224" s="13"/>
      <c r="E224" s="13"/>
      <c r="F224" s="8"/>
      <c r="G224" s="8"/>
    </row>
    <row r="225" customFormat="false" ht="15" hidden="false" customHeight="false" outlineLevel="0" collapsed="false">
      <c r="A225" s="14"/>
      <c r="B225" s="13"/>
      <c r="C225" s="13"/>
      <c r="D225" s="13"/>
      <c r="E225" s="13"/>
      <c r="F225" s="8"/>
      <c r="G225" s="8"/>
    </row>
    <row r="226" customFormat="false" ht="15" hidden="false" customHeight="false" outlineLevel="0" collapsed="false">
      <c r="A226" s="14"/>
      <c r="B226" s="13"/>
      <c r="C226" s="13"/>
      <c r="D226" s="13"/>
      <c r="E226" s="13"/>
      <c r="F226" s="8"/>
      <c r="G226" s="8"/>
    </row>
    <row r="227" customFormat="false" ht="15" hidden="false" customHeight="false" outlineLevel="0" collapsed="false">
      <c r="A227" s="14"/>
      <c r="B227" s="13"/>
      <c r="C227" s="13"/>
      <c r="D227" s="13"/>
      <c r="E227" s="13"/>
      <c r="F227" s="8"/>
      <c r="G227" s="8"/>
    </row>
    <row r="228" customFormat="false" ht="15" hidden="false" customHeight="false" outlineLevel="0" collapsed="false">
      <c r="A228" s="14"/>
      <c r="B228" s="13"/>
      <c r="C228" s="13"/>
      <c r="D228" s="13"/>
      <c r="E228" s="13"/>
      <c r="F228" s="8"/>
      <c r="G228" s="8"/>
    </row>
    <row r="229" customFormat="false" ht="15" hidden="false" customHeight="false" outlineLevel="0" collapsed="false">
      <c r="A229" s="14"/>
      <c r="B229" s="13"/>
      <c r="C229" s="13"/>
      <c r="D229" s="13"/>
      <c r="E229" s="13"/>
      <c r="F229" s="8"/>
      <c r="G229" s="8"/>
    </row>
    <row r="230" customFormat="false" ht="15" hidden="false" customHeight="false" outlineLevel="0" collapsed="false">
      <c r="A230" s="14"/>
      <c r="B230" s="13"/>
      <c r="C230" s="13"/>
      <c r="D230" s="13"/>
      <c r="E230" s="13"/>
      <c r="F230" s="8"/>
      <c r="G230" s="8"/>
    </row>
    <row r="231" customFormat="false" ht="15" hidden="false" customHeight="false" outlineLevel="0" collapsed="false">
      <c r="A231" s="14"/>
      <c r="B231" s="13"/>
      <c r="C231" s="13"/>
      <c r="D231" s="13"/>
      <c r="E231" s="13"/>
      <c r="F231" s="8"/>
      <c r="G231" s="8"/>
    </row>
    <row r="232" customFormat="false" ht="15" hidden="false" customHeight="false" outlineLevel="0" collapsed="false">
      <c r="A232" s="14"/>
      <c r="B232" s="13"/>
      <c r="C232" s="13"/>
      <c r="D232" s="13"/>
      <c r="E232" s="13"/>
      <c r="F232" s="8"/>
      <c r="G232" s="8"/>
    </row>
    <row r="233" customFormat="false" ht="15" hidden="false" customHeight="false" outlineLevel="0" collapsed="false">
      <c r="A233" s="14"/>
      <c r="B233" s="13"/>
      <c r="C233" s="13"/>
      <c r="D233" s="13"/>
      <c r="E233" s="13"/>
      <c r="F233" s="8"/>
      <c r="G233" s="8"/>
    </row>
    <row r="234" customFormat="false" ht="15" hidden="false" customHeight="false" outlineLevel="0" collapsed="false">
      <c r="A234" s="14"/>
      <c r="B234" s="13"/>
      <c r="C234" s="13"/>
      <c r="D234" s="13"/>
      <c r="E234" s="13"/>
      <c r="F234" s="8"/>
      <c r="G234" s="8"/>
    </row>
    <row r="235" customFormat="false" ht="15" hidden="false" customHeight="false" outlineLevel="0" collapsed="false">
      <c r="A235" s="14"/>
      <c r="B235" s="13"/>
      <c r="C235" s="13"/>
      <c r="D235" s="13"/>
      <c r="E235" s="13"/>
      <c r="F235" s="8"/>
      <c r="G235" s="8"/>
    </row>
    <row r="236" customFormat="false" ht="15" hidden="false" customHeight="false" outlineLevel="0" collapsed="false">
      <c r="A236" s="14"/>
      <c r="B236" s="13"/>
      <c r="C236" s="13"/>
      <c r="D236" s="13"/>
      <c r="E236" s="13"/>
      <c r="F236" s="8"/>
      <c r="G236" s="8"/>
    </row>
    <row r="237" customFormat="false" ht="15" hidden="false" customHeight="false" outlineLevel="0" collapsed="false">
      <c r="A237" s="14"/>
      <c r="B237" s="13"/>
      <c r="C237" s="13"/>
      <c r="D237" s="13"/>
      <c r="E237" s="13"/>
      <c r="F237" s="8"/>
      <c r="G237" s="8"/>
    </row>
    <row r="238" customFormat="false" ht="15" hidden="false" customHeight="false" outlineLevel="0" collapsed="false">
      <c r="A238" s="14"/>
      <c r="B238" s="13"/>
      <c r="C238" s="13"/>
      <c r="D238" s="13"/>
      <c r="E238" s="13"/>
      <c r="F238" s="8"/>
      <c r="G238" s="8"/>
    </row>
    <row r="239" customFormat="false" ht="15" hidden="false" customHeight="false" outlineLevel="0" collapsed="false">
      <c r="A239" s="14"/>
      <c r="B239" s="13"/>
      <c r="C239" s="13"/>
      <c r="D239" s="13"/>
      <c r="E239" s="13"/>
      <c r="F239" s="8"/>
      <c r="G239" s="8"/>
    </row>
    <row r="240" customFormat="false" ht="15" hidden="false" customHeight="false" outlineLevel="0" collapsed="false">
      <c r="A240" s="14"/>
      <c r="B240" s="13"/>
      <c r="C240" s="13"/>
      <c r="D240" s="13"/>
      <c r="E240" s="13"/>
      <c r="F240" s="8"/>
      <c r="G240" s="8"/>
    </row>
    <row r="241" customFormat="false" ht="15" hidden="false" customHeight="false" outlineLevel="0" collapsed="false">
      <c r="A241" s="14"/>
      <c r="B241" s="13"/>
      <c r="C241" s="13"/>
      <c r="D241" s="13"/>
      <c r="E241" s="13"/>
      <c r="F241" s="8"/>
      <c r="G241" s="8"/>
    </row>
    <row r="242" customFormat="false" ht="15" hidden="false" customHeight="false" outlineLevel="0" collapsed="false">
      <c r="A242" s="14"/>
      <c r="B242" s="13"/>
      <c r="C242" s="13"/>
      <c r="D242" s="13"/>
      <c r="E242" s="13"/>
      <c r="F242" s="8"/>
      <c r="G242" s="8"/>
    </row>
    <row r="243" customFormat="false" ht="15" hidden="false" customHeight="false" outlineLevel="0" collapsed="false">
      <c r="A243" s="14"/>
      <c r="B243" s="13"/>
      <c r="C243" s="13"/>
      <c r="D243" s="13"/>
      <c r="E243" s="13"/>
      <c r="F243" s="8"/>
      <c r="G243" s="8"/>
    </row>
    <row r="244" customFormat="false" ht="15" hidden="false" customHeight="false" outlineLevel="0" collapsed="false">
      <c r="A244" s="14"/>
      <c r="B244" s="13"/>
      <c r="C244" s="13"/>
      <c r="D244" s="13"/>
      <c r="E244" s="13"/>
      <c r="F244" s="8"/>
      <c r="G244" s="8"/>
    </row>
    <row r="245" customFormat="false" ht="15" hidden="false" customHeight="false" outlineLevel="0" collapsed="false">
      <c r="A245" s="14"/>
      <c r="B245" s="13"/>
      <c r="C245" s="13"/>
      <c r="D245" s="13"/>
      <c r="E245" s="13"/>
      <c r="F245" s="8"/>
      <c r="G245" s="8"/>
    </row>
    <row r="246" customFormat="false" ht="15" hidden="false" customHeight="false" outlineLevel="0" collapsed="false">
      <c r="A246" s="14"/>
      <c r="B246" s="13"/>
      <c r="C246" s="13"/>
      <c r="D246" s="13"/>
      <c r="E246" s="13"/>
      <c r="F246" s="8"/>
      <c r="G246" s="8"/>
    </row>
    <row r="247" customFormat="false" ht="15" hidden="false" customHeight="false" outlineLevel="0" collapsed="false">
      <c r="A247" s="14"/>
      <c r="B247" s="13"/>
      <c r="C247" s="13"/>
      <c r="D247" s="13"/>
      <c r="E247" s="13"/>
      <c r="F247" s="8"/>
      <c r="G247" s="8"/>
    </row>
    <row r="248" customFormat="false" ht="15" hidden="false" customHeight="false" outlineLevel="0" collapsed="false">
      <c r="A248" s="14"/>
      <c r="B248" s="13"/>
      <c r="C248" s="13"/>
      <c r="D248" s="13"/>
      <c r="E248" s="13"/>
      <c r="F248" s="8"/>
      <c r="G248" s="8"/>
    </row>
    <row r="249" customFormat="false" ht="15" hidden="false" customHeight="false" outlineLevel="0" collapsed="false">
      <c r="A249" s="14"/>
      <c r="B249" s="13"/>
      <c r="C249" s="13"/>
      <c r="D249" s="13"/>
      <c r="E249" s="13"/>
      <c r="F249" s="8"/>
      <c r="G249" s="8"/>
    </row>
    <row r="250" customFormat="false" ht="15" hidden="false" customHeight="false" outlineLevel="0" collapsed="false">
      <c r="A250" s="14"/>
      <c r="B250" s="13"/>
      <c r="C250" s="13"/>
      <c r="D250" s="13"/>
      <c r="E250" s="13"/>
      <c r="F250" s="8"/>
      <c r="G250" s="8"/>
    </row>
    <row r="251" customFormat="false" ht="15" hidden="false" customHeight="false" outlineLevel="0" collapsed="false">
      <c r="A251" s="14"/>
      <c r="B251" s="13"/>
      <c r="C251" s="13"/>
      <c r="D251" s="13"/>
      <c r="E251" s="13"/>
      <c r="F251" s="8"/>
      <c r="G251" s="8"/>
    </row>
    <row r="252" customFormat="false" ht="15" hidden="false" customHeight="false" outlineLevel="0" collapsed="false">
      <c r="A252" s="14"/>
      <c r="B252" s="13"/>
      <c r="C252" s="13"/>
      <c r="D252" s="13"/>
      <c r="E252" s="13"/>
      <c r="F252" s="8"/>
      <c r="G252" s="8"/>
    </row>
    <row r="253" customFormat="false" ht="15" hidden="false" customHeight="false" outlineLevel="0" collapsed="false">
      <c r="A253" s="14"/>
      <c r="B253" s="13"/>
      <c r="C253" s="13"/>
      <c r="D253" s="13"/>
      <c r="E253" s="13"/>
      <c r="F253" s="8"/>
      <c r="G253" s="8"/>
    </row>
    <row r="254" customFormat="false" ht="15" hidden="false" customHeight="false" outlineLevel="0" collapsed="false">
      <c r="A254" s="14"/>
      <c r="B254" s="13"/>
      <c r="C254" s="13"/>
      <c r="D254" s="13"/>
      <c r="E254" s="13"/>
      <c r="F254" s="8"/>
      <c r="G254" s="8"/>
    </row>
    <row r="255" customFormat="false" ht="15" hidden="false" customHeight="false" outlineLevel="0" collapsed="false">
      <c r="A255" s="14"/>
      <c r="B255" s="13"/>
      <c r="C255" s="13"/>
      <c r="D255" s="13"/>
      <c r="E255" s="13"/>
      <c r="F255" s="8"/>
      <c r="G255" s="8"/>
    </row>
    <row r="256" customFormat="false" ht="15" hidden="false" customHeight="false" outlineLevel="0" collapsed="false">
      <c r="A256" s="14"/>
      <c r="B256" s="13"/>
      <c r="C256" s="13"/>
      <c r="D256" s="13"/>
      <c r="E256" s="13"/>
      <c r="F256" s="8"/>
      <c r="G256" s="8"/>
    </row>
    <row r="257" customFormat="false" ht="15" hidden="false" customHeight="false" outlineLevel="0" collapsed="false">
      <c r="A257" s="14"/>
      <c r="B257" s="13"/>
      <c r="C257" s="13"/>
      <c r="D257" s="13"/>
      <c r="E257" s="13"/>
      <c r="F257" s="8"/>
      <c r="G257" s="8"/>
    </row>
    <row r="258" customFormat="false" ht="15" hidden="false" customHeight="false" outlineLevel="0" collapsed="false">
      <c r="A258" s="14"/>
      <c r="B258" s="13"/>
      <c r="C258" s="13"/>
      <c r="D258" s="13"/>
      <c r="E258" s="13"/>
      <c r="F258" s="8"/>
      <c r="G258" s="8"/>
    </row>
    <row r="259" customFormat="false" ht="15" hidden="false" customHeight="false" outlineLevel="0" collapsed="false">
      <c r="A259" s="14"/>
      <c r="B259" s="13"/>
      <c r="C259" s="13"/>
      <c r="D259" s="13"/>
      <c r="E259" s="13"/>
      <c r="F259" s="8"/>
      <c r="G259" s="8"/>
    </row>
    <row r="260" customFormat="false" ht="15" hidden="false" customHeight="false" outlineLevel="0" collapsed="false">
      <c r="A260" s="14"/>
      <c r="B260" s="13"/>
      <c r="C260" s="13"/>
      <c r="D260" s="13"/>
      <c r="E260" s="13"/>
      <c r="F260" s="8"/>
      <c r="G260" s="8"/>
    </row>
    <row r="261" customFormat="false" ht="15" hidden="false" customHeight="false" outlineLevel="0" collapsed="false">
      <c r="A261" s="14"/>
      <c r="B261" s="13"/>
      <c r="C261" s="13"/>
      <c r="D261" s="13"/>
      <c r="E261" s="13"/>
      <c r="F261" s="8"/>
      <c r="G261" s="8"/>
    </row>
    <row r="262" customFormat="false" ht="15" hidden="false" customHeight="false" outlineLevel="0" collapsed="false">
      <c r="A262" s="14"/>
      <c r="B262" s="13"/>
      <c r="C262" s="13"/>
      <c r="D262" s="13"/>
      <c r="E262" s="13"/>
      <c r="F262" s="8"/>
      <c r="G262" s="8"/>
    </row>
    <row r="263" customFormat="false" ht="15" hidden="false" customHeight="false" outlineLevel="0" collapsed="false">
      <c r="A263" s="14"/>
      <c r="B263" s="13"/>
      <c r="C263" s="13"/>
      <c r="D263" s="13"/>
      <c r="E263" s="13"/>
      <c r="F263" s="8"/>
      <c r="G263" s="8"/>
    </row>
    <row r="264" customFormat="false" ht="15" hidden="false" customHeight="false" outlineLevel="0" collapsed="false">
      <c r="A264" s="14"/>
      <c r="B264" s="13"/>
      <c r="C264" s="13"/>
      <c r="D264" s="13"/>
      <c r="E264" s="13"/>
      <c r="F264" s="8"/>
      <c r="G264" s="8"/>
    </row>
    <row r="265" customFormat="false" ht="15" hidden="false" customHeight="false" outlineLevel="0" collapsed="false">
      <c r="A265" s="14"/>
      <c r="B265" s="13"/>
      <c r="C265" s="13"/>
      <c r="D265" s="13"/>
      <c r="E265" s="13"/>
      <c r="F265" s="8"/>
      <c r="G265" s="8"/>
    </row>
    <row r="266" customFormat="false" ht="15" hidden="false" customHeight="false" outlineLevel="0" collapsed="false">
      <c r="A266" s="14"/>
      <c r="B266" s="13"/>
      <c r="C266" s="13"/>
      <c r="D266" s="13"/>
      <c r="E266" s="13"/>
      <c r="F266" s="8"/>
      <c r="G266" s="8"/>
    </row>
    <row r="267" customFormat="false" ht="15" hidden="false" customHeight="false" outlineLevel="0" collapsed="false">
      <c r="A267" s="14"/>
      <c r="B267" s="13"/>
      <c r="C267" s="13"/>
      <c r="D267" s="13"/>
      <c r="E267" s="13"/>
      <c r="F267" s="8"/>
      <c r="G267" s="8"/>
    </row>
    <row r="268" customFormat="false" ht="15" hidden="false" customHeight="false" outlineLevel="0" collapsed="false">
      <c r="A268" s="14"/>
      <c r="B268" s="13"/>
      <c r="C268" s="13"/>
      <c r="D268" s="13"/>
      <c r="E268" s="13"/>
      <c r="F268" s="8"/>
      <c r="G268" s="8"/>
    </row>
    <row r="269" customFormat="false" ht="15" hidden="false" customHeight="false" outlineLevel="0" collapsed="false">
      <c r="A269" s="14"/>
      <c r="B269" s="13"/>
      <c r="C269" s="13"/>
      <c r="D269" s="13"/>
      <c r="E269" s="13"/>
      <c r="F269" s="8"/>
      <c r="G269" s="8"/>
    </row>
    <row r="270" customFormat="false" ht="15" hidden="false" customHeight="false" outlineLevel="0" collapsed="false">
      <c r="A270" s="14"/>
      <c r="B270" s="13"/>
      <c r="C270" s="13"/>
      <c r="D270" s="13"/>
      <c r="E270" s="13"/>
      <c r="F270" s="8"/>
      <c r="G270" s="8"/>
    </row>
    <row r="271" customFormat="false" ht="15" hidden="false" customHeight="false" outlineLevel="0" collapsed="false">
      <c r="A271" s="14"/>
      <c r="B271" s="13"/>
      <c r="C271" s="13"/>
      <c r="D271" s="13"/>
      <c r="E271" s="13"/>
      <c r="F271" s="8"/>
      <c r="G271" s="8"/>
    </row>
    <row r="272" customFormat="false" ht="15" hidden="false" customHeight="false" outlineLevel="0" collapsed="false">
      <c r="A272" s="14"/>
      <c r="B272" s="13"/>
      <c r="C272" s="13"/>
      <c r="D272" s="13"/>
      <c r="E272" s="13"/>
      <c r="F272" s="8"/>
      <c r="G272" s="8"/>
    </row>
    <row r="273" customFormat="false" ht="15" hidden="false" customHeight="false" outlineLevel="0" collapsed="false">
      <c r="A273" s="14"/>
      <c r="B273" s="13"/>
      <c r="C273" s="13"/>
      <c r="D273" s="13"/>
      <c r="E273" s="13"/>
      <c r="F273" s="8"/>
      <c r="G273" s="8"/>
    </row>
    <row r="274" customFormat="false" ht="15" hidden="false" customHeight="false" outlineLevel="0" collapsed="false">
      <c r="A274" s="14"/>
      <c r="B274" s="13"/>
      <c r="C274" s="13"/>
      <c r="D274" s="13"/>
      <c r="E274" s="13"/>
      <c r="F274" s="8"/>
      <c r="G274" s="8"/>
    </row>
    <row r="275" customFormat="false" ht="15" hidden="false" customHeight="false" outlineLevel="0" collapsed="false">
      <c r="A275" s="14"/>
      <c r="B275" s="13"/>
      <c r="C275" s="13"/>
      <c r="D275" s="13"/>
      <c r="E275" s="13"/>
      <c r="F275" s="8"/>
      <c r="G275" s="8"/>
    </row>
    <row r="276" customFormat="false" ht="15" hidden="false" customHeight="false" outlineLevel="0" collapsed="false">
      <c r="A276" s="14"/>
      <c r="B276" s="13"/>
      <c r="C276" s="13"/>
      <c r="D276" s="13"/>
      <c r="E276" s="13"/>
      <c r="F276" s="8"/>
      <c r="G276" s="8"/>
    </row>
    <row r="277" customFormat="false" ht="15" hidden="false" customHeight="false" outlineLevel="0" collapsed="false">
      <c r="A277" s="14"/>
      <c r="B277" s="13"/>
      <c r="C277" s="13"/>
      <c r="D277" s="13"/>
      <c r="E277" s="13"/>
      <c r="F277" s="8"/>
      <c r="G277" s="8"/>
    </row>
    <row r="278" customFormat="false" ht="15" hidden="false" customHeight="false" outlineLevel="0" collapsed="false">
      <c r="A278" s="14"/>
      <c r="B278" s="13"/>
      <c r="C278" s="13"/>
      <c r="D278" s="13"/>
      <c r="E278" s="13"/>
      <c r="F278" s="8"/>
      <c r="G278" s="8"/>
    </row>
    <row r="279" customFormat="false" ht="15" hidden="false" customHeight="false" outlineLevel="0" collapsed="false">
      <c r="A279" s="14"/>
      <c r="B279" s="13"/>
      <c r="C279" s="13"/>
      <c r="D279" s="13"/>
      <c r="E279" s="13"/>
      <c r="F279" s="8"/>
      <c r="G279" s="8"/>
    </row>
    <row r="280" customFormat="false" ht="15" hidden="false" customHeight="false" outlineLevel="0" collapsed="false">
      <c r="A280" s="14"/>
      <c r="B280" s="13"/>
      <c r="C280" s="13"/>
      <c r="D280" s="13"/>
      <c r="E280" s="13"/>
      <c r="F280" s="8"/>
      <c r="G280" s="8"/>
    </row>
    <row r="281" customFormat="false" ht="15" hidden="false" customHeight="false" outlineLevel="0" collapsed="false">
      <c r="A281" s="14"/>
      <c r="B281" s="13"/>
      <c r="C281" s="13"/>
      <c r="D281" s="13"/>
      <c r="E281" s="13"/>
      <c r="F281" s="8"/>
      <c r="G281" s="8"/>
    </row>
    <row r="282" customFormat="false" ht="15" hidden="false" customHeight="false" outlineLevel="0" collapsed="false">
      <c r="A282" s="14"/>
      <c r="B282" s="13"/>
      <c r="C282" s="13"/>
      <c r="D282" s="13"/>
      <c r="E282" s="13"/>
      <c r="F282" s="8"/>
      <c r="G282" s="8"/>
    </row>
    <row r="283" customFormat="false" ht="15" hidden="false" customHeight="false" outlineLevel="0" collapsed="false">
      <c r="A283" s="14"/>
      <c r="B283" s="13"/>
      <c r="C283" s="13"/>
      <c r="D283" s="13"/>
      <c r="E283" s="13"/>
      <c r="F283" s="8"/>
      <c r="G283" s="8"/>
    </row>
    <row r="284" customFormat="false" ht="15" hidden="false" customHeight="false" outlineLevel="0" collapsed="false">
      <c r="A284" s="14"/>
      <c r="B284" s="13"/>
      <c r="C284" s="13"/>
      <c r="D284" s="13"/>
      <c r="E284" s="13"/>
      <c r="F284" s="8"/>
      <c r="G284" s="8"/>
    </row>
    <row r="285" customFormat="false" ht="15" hidden="false" customHeight="false" outlineLevel="0" collapsed="false">
      <c r="A285" s="14"/>
      <c r="B285" s="13"/>
      <c r="C285" s="13"/>
      <c r="D285" s="13"/>
      <c r="E285" s="13"/>
      <c r="F285" s="8"/>
      <c r="G285" s="8"/>
    </row>
    <row r="286" customFormat="false" ht="15" hidden="false" customHeight="false" outlineLevel="0" collapsed="false">
      <c r="A286" s="14"/>
      <c r="B286" s="13"/>
      <c r="C286" s="13"/>
      <c r="D286" s="13"/>
      <c r="E286" s="13"/>
      <c r="F286" s="8"/>
      <c r="G286" s="8"/>
    </row>
    <row r="287" customFormat="false" ht="15" hidden="false" customHeight="false" outlineLevel="0" collapsed="false">
      <c r="A287" s="14"/>
      <c r="B287" s="13"/>
      <c r="C287" s="13"/>
      <c r="D287" s="13"/>
      <c r="E287" s="13"/>
      <c r="F287" s="8"/>
      <c r="G287" s="8"/>
    </row>
    <row r="288" customFormat="false" ht="15" hidden="false" customHeight="false" outlineLevel="0" collapsed="false">
      <c r="A288" s="14"/>
      <c r="B288" s="13"/>
      <c r="C288" s="13"/>
      <c r="D288" s="13"/>
      <c r="E288" s="13"/>
      <c r="F288" s="8"/>
      <c r="G288" s="8"/>
    </row>
    <row r="289" customFormat="false" ht="15" hidden="false" customHeight="false" outlineLevel="0" collapsed="false">
      <c r="A289" s="14"/>
      <c r="B289" s="13"/>
      <c r="C289" s="13"/>
      <c r="D289" s="13"/>
      <c r="E289" s="13"/>
      <c r="F289" s="8"/>
      <c r="G289" s="8"/>
    </row>
    <row r="290" customFormat="false" ht="15" hidden="false" customHeight="false" outlineLevel="0" collapsed="false">
      <c r="A290" s="14"/>
      <c r="B290" s="13"/>
      <c r="C290" s="13"/>
      <c r="D290" s="13"/>
      <c r="E290" s="13"/>
      <c r="F290" s="8"/>
      <c r="G290" s="8"/>
    </row>
    <row r="291" customFormat="false" ht="15" hidden="false" customHeight="false" outlineLevel="0" collapsed="false">
      <c r="A291" s="14"/>
      <c r="B291" s="13"/>
      <c r="C291" s="13"/>
      <c r="D291" s="13"/>
      <c r="E291" s="13"/>
      <c r="F291" s="8"/>
      <c r="G291" s="8"/>
    </row>
    <row r="292" customFormat="false" ht="15" hidden="false" customHeight="false" outlineLevel="0" collapsed="false">
      <c r="A292" s="14"/>
      <c r="B292" s="13"/>
      <c r="C292" s="13"/>
      <c r="D292" s="13"/>
      <c r="E292" s="13"/>
      <c r="F292" s="8"/>
      <c r="G292" s="8"/>
    </row>
    <row r="293" customFormat="false" ht="15" hidden="false" customHeight="false" outlineLevel="0" collapsed="false">
      <c r="A293" s="14"/>
      <c r="B293" s="13"/>
      <c r="C293" s="13"/>
      <c r="D293" s="13"/>
      <c r="E293" s="13"/>
      <c r="F293" s="8"/>
      <c r="G293" s="8"/>
    </row>
    <row r="294" customFormat="false" ht="15" hidden="false" customHeight="false" outlineLevel="0" collapsed="false">
      <c r="A294" s="14"/>
      <c r="B294" s="13"/>
      <c r="C294" s="13"/>
      <c r="D294" s="13"/>
      <c r="E294" s="13"/>
      <c r="F294" s="8"/>
      <c r="G294" s="8"/>
    </row>
    <row r="295" customFormat="false" ht="15" hidden="false" customHeight="false" outlineLevel="0" collapsed="false">
      <c r="A295" s="14"/>
      <c r="B295" s="13"/>
      <c r="C295" s="13"/>
      <c r="D295" s="13"/>
      <c r="E295" s="13"/>
      <c r="F295" s="8"/>
      <c r="G295" s="8"/>
    </row>
    <row r="296" customFormat="false" ht="15" hidden="false" customHeight="false" outlineLevel="0" collapsed="false">
      <c r="A296" s="14"/>
      <c r="B296" s="13"/>
      <c r="C296" s="13"/>
      <c r="D296" s="13"/>
      <c r="E296" s="13"/>
      <c r="F296" s="8"/>
      <c r="G296" s="8"/>
    </row>
    <row r="297" customFormat="false" ht="15" hidden="false" customHeight="false" outlineLevel="0" collapsed="false">
      <c r="A297" s="14"/>
      <c r="B297" s="13"/>
      <c r="C297" s="13"/>
      <c r="D297" s="13"/>
      <c r="E297" s="13"/>
      <c r="F297" s="8"/>
      <c r="G297" s="8"/>
    </row>
    <row r="298" customFormat="false" ht="15" hidden="false" customHeight="false" outlineLevel="0" collapsed="false">
      <c r="A298" s="14"/>
      <c r="B298" s="13"/>
      <c r="C298" s="13"/>
      <c r="D298" s="13"/>
      <c r="E298" s="13"/>
      <c r="F298" s="8"/>
      <c r="G298" s="8"/>
    </row>
    <row r="299" customFormat="false" ht="15" hidden="false" customHeight="false" outlineLevel="0" collapsed="false">
      <c r="A299" s="14"/>
      <c r="B299" s="13"/>
      <c r="C299" s="13"/>
      <c r="D299" s="13"/>
      <c r="E299" s="13"/>
      <c r="F299" s="8"/>
      <c r="G299" s="8"/>
    </row>
    <row r="300" customFormat="false" ht="15" hidden="false" customHeight="false" outlineLevel="0" collapsed="false">
      <c r="A300" s="14"/>
      <c r="B300" s="13"/>
      <c r="C300" s="13"/>
      <c r="D300" s="13"/>
      <c r="E300" s="13"/>
      <c r="F300" s="8"/>
      <c r="G300" s="8"/>
    </row>
    <row r="301" customFormat="false" ht="15" hidden="false" customHeight="false" outlineLevel="0" collapsed="false">
      <c r="A301" s="14"/>
      <c r="B301" s="13"/>
      <c r="C301" s="13"/>
      <c r="D301" s="13"/>
      <c r="E301" s="13"/>
      <c r="F301" s="8"/>
      <c r="G30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20"/>
    <col collapsed="false" customWidth="true" hidden="false" outlineLevel="0" max="5" min="5" style="0" width="22"/>
    <col collapsed="false" customWidth="true" hidden="false" outlineLevel="0" max="6" min="6" style="0" width="17"/>
    <col collapsed="false" customWidth="true" hidden="false" outlineLevel="0" max="7" min="7" style="0" width="12"/>
    <col collapsed="false" customWidth="true" hidden="false" outlineLevel="0" max="8" min="8" style="0" width="18"/>
    <col collapsed="false" customWidth="true" hidden="false" outlineLevel="0" max="9" min="9" style="0" width="12"/>
    <col collapsed="false" customWidth="true" hidden="false" outlineLevel="0" max="10" min="10" style="0" width="19"/>
    <col collapsed="false" customWidth="true" hidden="false" outlineLevel="0" max="11" min="11" style="0" width="20"/>
  </cols>
  <sheetData>
    <row r="1" customFormat="false" ht="31.5" hidden="false" customHeight="true" outlineLevel="0" collapsed="false">
      <c r="A1" s="10" t="s">
        <v>126</v>
      </c>
      <c r="B1" s="10" t="s">
        <v>356</v>
      </c>
      <c r="C1" s="10" t="s">
        <v>357</v>
      </c>
      <c r="D1" s="10" t="s">
        <v>358</v>
      </c>
      <c r="E1" s="10" t="s">
        <v>359</v>
      </c>
      <c r="F1" s="10" t="s">
        <v>360</v>
      </c>
      <c r="G1" s="10" t="s">
        <v>361</v>
      </c>
      <c r="H1" s="10" t="s">
        <v>362</v>
      </c>
      <c r="I1" s="10" t="s">
        <v>363</v>
      </c>
      <c r="J1" s="10" t="s">
        <v>364</v>
      </c>
      <c r="K1" s="10" t="s">
        <v>68</v>
      </c>
    </row>
    <row r="2" customFormat="false" ht="15" hidden="false" customHeight="false" outlineLevel="0" collapsed="false">
      <c r="A2" s="15" t="n">
        <v>1</v>
      </c>
      <c r="B2" s="21" t="n">
        <f aca="false">Settings!$B$2+(1-1)*7</f>
        <v>46328</v>
      </c>
      <c r="C2" s="21" t="n">
        <f aca="false">B2+6</f>
        <v>46334</v>
      </c>
      <c r="D2" s="13" t="n">
        <v>240</v>
      </c>
      <c r="E2" s="13" t="n">
        <v>180</v>
      </c>
      <c r="F2" s="22" t="n">
        <f aca="false">IF(AND(D2="",E2=""),"",(N(D2)+N(E2))/60)</f>
        <v>7</v>
      </c>
      <c r="G2" s="8" t="n">
        <f aca="false">COUNTIF(Requests!$C$2:$C$301,A2)</f>
        <v>5</v>
      </c>
      <c r="H2" s="8" t="n">
        <f aca="false">COUNTIFS(Requests!$C$2:$C$301,A2,Requests!$F$2:$F$301,"Organic")</f>
        <v>2</v>
      </c>
      <c r="I2" s="8" t="n">
        <f aca="false">COUNTIF(Nudges!$B$2:$B$301,A2)</f>
        <v>2</v>
      </c>
      <c r="J2" s="8" t="n">
        <f aca="false">COUNTIFS(Businesses!$H$2:$H$301,"&gt;="&amp;B2,Businesses!$H$2:$H$301,"&lt;="&amp;C2)</f>
        <v>8</v>
      </c>
      <c r="K2" s="8" t="n">
        <f aca="false">COUNTIFS(Picks!$F$2:$F$301,A2,Picks!$H$2:$H$301,"Y")</f>
        <v>0</v>
      </c>
    </row>
    <row r="3" customFormat="false" ht="15" hidden="false" customHeight="false" outlineLevel="0" collapsed="false">
      <c r="A3" s="15" t="n">
        <v>2</v>
      </c>
      <c r="B3" s="21" t="n">
        <f aca="false">Settings!$B$2+(2-1)*7</f>
        <v>46335</v>
      </c>
      <c r="C3" s="21" t="n">
        <f aca="false">B3+6</f>
        <v>46341</v>
      </c>
      <c r="D3" s="13" t="n">
        <v>210</v>
      </c>
      <c r="E3" s="13" t="n">
        <v>200</v>
      </c>
      <c r="F3" s="22" t="n">
        <f aca="false">IF(AND(D3="",E3=""),"",(N(D3)+N(E3))/60)</f>
        <v>6.83333333333333</v>
      </c>
      <c r="G3" s="8" t="n">
        <f aca="false">COUNTIF(Requests!$C$2:$C$301,A3)</f>
        <v>6</v>
      </c>
      <c r="H3" s="8" t="n">
        <f aca="false">COUNTIFS(Requests!$C$2:$C$301,A3,Requests!$F$2:$F$301,"Organic")</f>
        <v>4</v>
      </c>
      <c r="I3" s="8" t="n">
        <f aca="false">COUNTIF(Nudges!$B$2:$B$301,A3)</f>
        <v>2</v>
      </c>
      <c r="J3" s="8" t="n">
        <f aca="false">COUNTIFS(Businesses!$H$2:$H$301,"&gt;="&amp;B3,Businesses!$H$2:$H$301,"&lt;="&amp;C3)</f>
        <v>4</v>
      </c>
      <c r="K3" s="8" t="n">
        <f aca="false">COUNTIFS(Picks!$F$2:$F$301,A3,Picks!$H$2:$H$301,"Y")</f>
        <v>0</v>
      </c>
    </row>
    <row r="4" customFormat="false" ht="15" hidden="false" customHeight="false" outlineLevel="0" collapsed="false">
      <c r="A4" s="15" t="n">
        <v>3</v>
      </c>
      <c r="B4" s="21" t="n">
        <f aca="false">Settings!$B$2+(3-1)*7</f>
        <v>46342</v>
      </c>
      <c r="C4" s="21" t="n">
        <f aca="false">B4+6</f>
        <v>46348</v>
      </c>
      <c r="D4" s="13" t="n">
        <v>150</v>
      </c>
      <c r="E4" s="13" t="n">
        <v>210</v>
      </c>
      <c r="F4" s="22" t="n">
        <f aca="false">IF(AND(D4="",E4=""),"",(N(D4)+N(E4))/60)</f>
        <v>6</v>
      </c>
      <c r="G4" s="8" t="n">
        <f aca="false">COUNTIF(Requests!$C$2:$C$301,A4)</f>
        <v>6</v>
      </c>
      <c r="H4" s="8" t="n">
        <f aca="false">COUNTIFS(Requests!$C$2:$C$301,A4,Requests!$F$2:$F$301,"Organic")</f>
        <v>3</v>
      </c>
      <c r="I4" s="8" t="n">
        <f aca="false">COUNTIF(Nudges!$B$2:$B$301,A4)</f>
        <v>2</v>
      </c>
      <c r="J4" s="8" t="n">
        <f aca="false">COUNTIFS(Businesses!$H$2:$H$301,"&gt;="&amp;B4,Businesses!$H$2:$H$301,"&lt;="&amp;C4)</f>
        <v>1</v>
      </c>
      <c r="K4" s="8" t="n">
        <f aca="false">COUNTIFS(Picks!$F$2:$F$301,A4,Picks!$H$2:$H$301,"Y")</f>
        <v>0</v>
      </c>
    </row>
    <row r="5" customFormat="false" ht="15" hidden="false" customHeight="false" outlineLevel="0" collapsed="false">
      <c r="A5" s="15" t="n">
        <v>4</v>
      </c>
      <c r="B5" s="21" t="n">
        <f aca="false">Settings!$B$2+(4-1)*7</f>
        <v>46349</v>
      </c>
      <c r="C5" s="21" t="n">
        <f aca="false">B5+6</f>
        <v>46355</v>
      </c>
      <c r="D5" s="13" t="n">
        <v>90</v>
      </c>
      <c r="E5" s="13" t="n">
        <v>160</v>
      </c>
      <c r="F5" s="22" t="n">
        <f aca="false">IF(AND(D5="",E5=""),"",(N(D5)+N(E5))/60)</f>
        <v>4.16666666666667</v>
      </c>
      <c r="G5" s="8" t="n">
        <f aca="false">COUNTIF(Requests!$C$2:$C$301,A5)</f>
        <v>5</v>
      </c>
      <c r="H5" s="8" t="n">
        <f aca="false">COUNTIFS(Requests!$C$2:$C$301,A5,Requests!$F$2:$F$301,"Organic")</f>
        <v>2</v>
      </c>
      <c r="I5" s="8" t="n">
        <f aca="false">COUNTIF(Nudges!$B$2:$B$301,A5)</f>
        <v>0</v>
      </c>
      <c r="J5" s="8" t="n">
        <f aca="false">COUNTIFS(Businesses!$H$2:$H$301,"&gt;="&amp;B5,Businesses!$H$2:$H$301,"&lt;="&amp;C5)</f>
        <v>0</v>
      </c>
      <c r="K5" s="8" t="n">
        <f aca="false">COUNTIFS(Picks!$F$2:$F$301,A5,Picks!$H$2:$H$301,"Y")</f>
        <v>2</v>
      </c>
    </row>
    <row r="6" customFormat="false" ht="15" hidden="false" customHeight="false" outlineLevel="0" collapsed="false">
      <c r="A6" s="15" t="n">
        <v>5</v>
      </c>
      <c r="B6" s="21" t="n">
        <f aca="false">Settings!$B$2+(5-1)*7</f>
        <v>46356</v>
      </c>
      <c r="C6" s="21" t="n">
        <f aca="false">B6+6</f>
        <v>46362</v>
      </c>
      <c r="D6" s="13" t="n">
        <v>75</v>
      </c>
      <c r="E6" s="13" t="n">
        <v>150</v>
      </c>
      <c r="F6" s="22" t="n">
        <f aca="false">IF(AND(D6="",E6=""),"",(N(D6)+N(E6))/60)</f>
        <v>3.75</v>
      </c>
      <c r="G6" s="8" t="n">
        <f aca="false">COUNTIF(Requests!$C$2:$C$301,A6)</f>
        <v>6</v>
      </c>
      <c r="H6" s="8" t="n">
        <f aca="false">COUNTIFS(Requests!$C$2:$C$301,A6,Requests!$F$2:$F$301,"Organic")</f>
        <v>3</v>
      </c>
      <c r="I6" s="8" t="n">
        <f aca="false">COUNTIF(Nudges!$B$2:$B$301,A6)</f>
        <v>0</v>
      </c>
      <c r="J6" s="8" t="n">
        <f aca="false">COUNTIFS(Businesses!$H$2:$H$301,"&gt;="&amp;B6,Businesses!$H$2:$H$301,"&lt;="&amp;C6)</f>
        <v>0</v>
      </c>
      <c r="K6" s="8" t="n">
        <f aca="false">COUNTIFS(Picks!$F$2:$F$301,A6,Picks!$H$2:$H$301,"Y")</f>
        <v>1</v>
      </c>
    </row>
    <row r="7" customFormat="false" ht="15" hidden="false" customHeight="false" outlineLevel="0" collapsed="false">
      <c r="A7" s="15" t="n">
        <v>6</v>
      </c>
      <c r="B7" s="21" t="n">
        <f aca="false">Settings!$B$2+(6-1)*7</f>
        <v>46363</v>
      </c>
      <c r="C7" s="21" t="n">
        <f aca="false">B7+6</f>
        <v>46369</v>
      </c>
      <c r="D7" s="13" t="n">
        <v>60</v>
      </c>
      <c r="E7" s="13" t="n">
        <v>140</v>
      </c>
      <c r="F7" s="22" t="n">
        <f aca="false">IF(AND(D7="",E7=""),"",(N(D7)+N(E7))/60)</f>
        <v>3.33333333333333</v>
      </c>
      <c r="G7" s="8" t="n">
        <f aca="false">COUNTIF(Requests!$C$2:$C$301,A7)</f>
        <v>4</v>
      </c>
      <c r="H7" s="8" t="n">
        <f aca="false">COUNTIFS(Requests!$C$2:$C$301,A7,Requests!$F$2:$F$301,"Organic")</f>
        <v>3</v>
      </c>
      <c r="I7" s="8" t="n">
        <f aca="false">COUNTIF(Nudges!$B$2:$B$301,A7)</f>
        <v>0</v>
      </c>
      <c r="J7" s="8" t="n">
        <f aca="false">COUNTIFS(Businesses!$H$2:$H$301,"&gt;="&amp;B7,Businesses!$H$2:$H$301,"&lt;="&amp;C7)</f>
        <v>0</v>
      </c>
      <c r="K7" s="8" t="n">
        <f aca="false">COUNTIFS(Picks!$F$2:$F$301,A7,Picks!$H$2:$H$301,"Y")</f>
        <v>2</v>
      </c>
    </row>
    <row r="8" customFormat="false" ht="15" hidden="false" customHeight="false" outlineLevel="0" collapsed="false">
      <c r="A8" s="15" t="n">
        <v>7</v>
      </c>
      <c r="B8" s="21" t="n">
        <f aca="false">Settings!$B$2+(7-1)*7</f>
        <v>46370</v>
      </c>
      <c r="C8" s="21" t="n">
        <f aca="false">B8+6</f>
        <v>46376</v>
      </c>
      <c r="D8" s="13"/>
      <c r="E8" s="13"/>
      <c r="F8" s="22" t="str">
        <f aca="false">IF(AND(D8="",E8=""),"",(N(D8)+N(E8))/60)</f>
        <v/>
      </c>
      <c r="G8" s="8" t="n">
        <f aca="false">COUNTIF(Requests!$C$2:$C$301,A8)</f>
        <v>0</v>
      </c>
      <c r="H8" s="8" t="n">
        <f aca="false">COUNTIFS(Requests!$C$2:$C$301,A8,Requests!$F$2:$F$301,"Organic")</f>
        <v>0</v>
      </c>
      <c r="I8" s="8" t="n">
        <f aca="false">COUNTIF(Nudges!$B$2:$B$301,A8)</f>
        <v>0</v>
      </c>
      <c r="J8" s="8" t="n">
        <f aca="false">COUNTIFS(Businesses!$H$2:$H$301,"&gt;="&amp;B8,Businesses!$H$2:$H$301,"&lt;="&amp;C8)</f>
        <v>0</v>
      </c>
      <c r="K8" s="8" t="n">
        <f aca="false">COUNTIFS(Picks!$F$2:$F$301,A8,Picks!$H$2:$H$301,"Y")</f>
        <v>0</v>
      </c>
    </row>
    <row r="9" customFormat="false" ht="15" hidden="false" customHeight="false" outlineLevel="0" collapsed="false">
      <c r="A9" s="15" t="n">
        <v>8</v>
      </c>
      <c r="B9" s="21" t="n">
        <f aca="false">Settings!$B$2+(8-1)*7</f>
        <v>46377</v>
      </c>
      <c r="C9" s="21" t="n">
        <f aca="false">B9+6</f>
        <v>46383</v>
      </c>
      <c r="D9" s="13"/>
      <c r="E9" s="13"/>
      <c r="F9" s="22" t="str">
        <f aca="false">IF(AND(D9="",E9=""),"",(N(D9)+N(E9))/60)</f>
        <v/>
      </c>
      <c r="G9" s="8" t="n">
        <f aca="false">COUNTIF(Requests!$C$2:$C$301,A9)</f>
        <v>0</v>
      </c>
      <c r="H9" s="8" t="n">
        <f aca="false">COUNTIFS(Requests!$C$2:$C$301,A9,Requests!$F$2:$F$301,"Organic")</f>
        <v>0</v>
      </c>
      <c r="I9" s="8" t="n">
        <f aca="false">COUNTIF(Nudges!$B$2:$B$301,A9)</f>
        <v>0</v>
      </c>
      <c r="J9" s="8" t="n">
        <f aca="false">COUNTIFS(Businesses!$H$2:$H$301,"&gt;="&amp;B9,Businesses!$H$2:$H$301,"&lt;="&amp;C9)</f>
        <v>0</v>
      </c>
      <c r="K9" s="8" t="n">
        <f aca="false">COUNTIFS(Picks!$F$2:$F$301,A9,Picks!$H$2:$H$301,"Y")</f>
        <v>0</v>
      </c>
    </row>
    <row r="10" customFormat="false" ht="15" hidden="false" customHeight="false" outlineLevel="0" collapsed="false">
      <c r="A10" s="8"/>
      <c r="B10" s="8"/>
      <c r="C10" s="8"/>
      <c r="D10" s="8"/>
      <c r="E10" s="8"/>
      <c r="F10" s="8"/>
      <c r="G10" s="8"/>
      <c r="H10" s="8"/>
      <c r="I10" s="8"/>
      <c r="J10" s="8"/>
      <c r="K10" s="8"/>
    </row>
    <row r="11" customFormat="false" ht="15" hidden="false" customHeight="false" outlineLevel="0" collapsed="false">
      <c r="A11" s="9" t="s">
        <v>365</v>
      </c>
      <c r="B11" s="8"/>
      <c r="C11" s="8"/>
      <c r="D11" s="8"/>
      <c r="E11" s="8"/>
      <c r="F11" s="8"/>
      <c r="G11" s="8"/>
      <c r="H11" s="8"/>
      <c r="I11" s="8"/>
      <c r="J11" s="8"/>
      <c r="K1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7" min="7" style="0" width="70"/>
  </cols>
  <sheetData>
    <row r="1" customFormat="false" ht="15" hidden="false" customHeight="false" outlineLevel="0" collapsed="false">
      <c r="A1" s="4" t="s">
        <v>366</v>
      </c>
      <c r="B1" s="4" t="s">
        <v>22</v>
      </c>
      <c r="C1" s="4" t="s">
        <v>367</v>
      </c>
      <c r="D1" s="4" t="s">
        <v>368</v>
      </c>
      <c r="E1" s="4" t="s">
        <v>369</v>
      </c>
      <c r="F1" s="4" t="s">
        <v>370</v>
      </c>
      <c r="G1" s="4" t="s">
        <v>347</v>
      </c>
    </row>
    <row r="2" customFormat="false" ht="15" hidden="false" customHeight="false" outlineLevel="0" collapsed="false">
      <c r="A2" s="5" t="s">
        <v>371</v>
      </c>
      <c r="B2" s="23" t="n">
        <f aca="false">COUNTIF(Requests!$F$2:$F$301,"Organic")</f>
        <v>17</v>
      </c>
      <c r="C2" s="5" t="s">
        <v>372</v>
      </c>
      <c r="D2" s="24" t="n">
        <v>20</v>
      </c>
      <c r="E2" s="24" t="n">
        <v>10</v>
      </c>
      <c r="F2" s="11" t="str">
        <f aca="false">IF(B2="","",IF(B2&gt;=D2,"Go",IF(B2&lt;E2,"Stop","Change")))</f>
        <v>Change</v>
      </c>
      <c r="G2" s="9" t="s">
        <v>373</v>
      </c>
    </row>
    <row r="3" customFormat="false" ht="15" hidden="false" customHeight="false" outlineLevel="0" collapsed="false">
      <c r="A3" s="5" t="s">
        <v>374</v>
      </c>
      <c r="B3" s="23" t="n">
        <f aca="false">MIN(Weekly!H5:H7)</f>
        <v>2</v>
      </c>
      <c r="C3" s="5" t="s">
        <v>372</v>
      </c>
      <c r="D3" s="24" t="n">
        <v>4</v>
      </c>
      <c r="E3" s="24" t="n">
        <v>1</v>
      </c>
      <c r="F3" s="11" t="str">
        <f aca="false">IF(B3="","",IF(B3&gt;=D3,"Go",IF(B3&lt;E3,"Stop","Change")))</f>
        <v>Change</v>
      </c>
      <c r="G3" s="9" t="s">
        <v>375</v>
      </c>
    </row>
    <row r="4" customFormat="false" ht="15" hidden="false" customHeight="false" outlineLevel="0" collapsed="false">
      <c r="A4" s="5" t="s">
        <v>376</v>
      </c>
      <c r="B4" s="25" t="n">
        <f aca="false">IFERROR((COUNTA(Requests!$A$2:$A$301)-COUNTIF(Requests!$F$2:$F$301,"Seeded"))/COUNTA(Requests!$A$2:$A$301),0)</f>
        <v>0.71875</v>
      </c>
      <c r="C4" s="5" t="s">
        <v>372</v>
      </c>
      <c r="D4" s="26" t="n">
        <v>0.6</v>
      </c>
      <c r="E4" s="26" t="n">
        <v>0.3</v>
      </c>
      <c r="F4" s="11" t="str">
        <f aca="false">IF(B4="","",IF(B4&gt;=D4,"Go",IF(B4&lt;E4,"Stop","Change")))</f>
        <v>Go</v>
      </c>
      <c r="G4" s="9"/>
    </row>
    <row r="5" customFormat="false" ht="15" hidden="false" customHeight="false" outlineLevel="0" collapsed="false">
      <c r="A5" s="5" t="s">
        <v>377</v>
      </c>
      <c r="B5" s="25" t="n">
        <f aca="false">IFERROR(COUNTIFS(Requests!$O$2:$O$301,TRUE(),Requests!$M$2:$M$301,"&gt;=1")/COUNTIF(Requests!$O$2:$O$301,TRUE()),0)</f>
        <v>0.75</v>
      </c>
      <c r="C5" s="5" t="s">
        <v>372</v>
      </c>
      <c r="D5" s="26" t="n">
        <v>0.8</v>
      </c>
      <c r="E5" s="26" t="n">
        <v>0.5</v>
      </c>
      <c r="F5" s="11" t="str">
        <f aca="false">IF(B5="","",IF(B5&gt;=D5,"Go",IF(B5&lt;E5,"Stop","Change")))</f>
        <v>Change</v>
      </c>
      <c r="G5" s="9"/>
    </row>
    <row r="6" customFormat="false" ht="15" hidden="false" customHeight="false" outlineLevel="0" collapsed="false">
      <c r="A6" s="5" t="s">
        <v>378</v>
      </c>
      <c r="B6" s="25" t="n">
        <f aca="false">IFERROR(COUNTIFS(Requests!$O$2:$O$301,TRUE(),Requests!$M$2:$M$301,"&gt;=2")/COUNTIF(Requests!$O$2:$O$301,TRUE()),0)</f>
        <v>0.541666666666667</v>
      </c>
      <c r="C6" s="5" t="s">
        <v>372</v>
      </c>
      <c r="D6" s="26" t="n">
        <v>0.6</v>
      </c>
      <c r="E6" s="26" t="n">
        <v>0.3</v>
      </c>
      <c r="F6" s="11" t="str">
        <f aca="false">IF(B6="","",IF(B6&gt;=D6,"Go",IF(B6&lt;E6,"Stop","Change")))</f>
        <v>Change</v>
      </c>
      <c r="G6" s="9" t="s">
        <v>379</v>
      </c>
    </row>
    <row r="7" customFormat="false" ht="15" hidden="false" customHeight="false" outlineLevel="0" collapsed="false">
      <c r="A7" s="5" t="s">
        <v>380</v>
      </c>
      <c r="B7" s="17" t="n">
        <f aca="false">IFERROR(MEDIAN(Requests!$P$2:$P$301),"")</f>
        <v>2.42299156080097</v>
      </c>
      <c r="C7" s="5" t="s">
        <v>381</v>
      </c>
      <c r="D7" s="27" t="n">
        <v>6</v>
      </c>
      <c r="E7" s="27" t="n">
        <v>12</v>
      </c>
      <c r="F7" s="11" t="str">
        <f aca="false">IF(B7="","",IF(B7&lt;=D7,"Go",IF(B7&gt;E7,"Stop","Change")))</f>
        <v>Go</v>
      </c>
      <c r="G7" s="9"/>
    </row>
    <row r="8" customFormat="false" ht="15" hidden="false" customHeight="false" outlineLevel="0" collapsed="false">
      <c r="A8" s="5" t="s">
        <v>382</v>
      </c>
      <c r="B8" s="17" t="n">
        <f aca="false">IFERROR(PERCENTILE(Requests!$P$2:$P$301,0.75),"")</f>
        <v>3.38850843165701</v>
      </c>
      <c r="C8" s="5" t="s">
        <v>381</v>
      </c>
      <c r="D8" s="27" t="n">
        <v>12</v>
      </c>
      <c r="E8" s="27" t="n">
        <v>24</v>
      </c>
      <c r="F8" s="11" t="str">
        <f aca="false">IF(B8="","",IF(B8&lt;=D8,"Go",IF(B8&gt;E8,"Stop","Change")))</f>
        <v>Go</v>
      </c>
      <c r="G8" s="9" t="s">
        <v>383</v>
      </c>
    </row>
    <row r="9" customFormat="false" ht="15" hidden="false" customHeight="false" outlineLevel="0" collapsed="false">
      <c r="A9" s="5" t="s">
        <v>384</v>
      </c>
      <c r="B9" s="25" t="n">
        <f aca="false">IFERROR(COUNTIFS(Requests!$M$2:$M$301,"&gt;=2",Requests!$Q$2:$Q$301,TRUE())/COUNTIF(Requests!$M$2:$M$301,"&gt;=2"),0)</f>
        <v>0.538461538461538</v>
      </c>
      <c r="C9" s="5" t="s">
        <v>372</v>
      </c>
      <c r="D9" s="26" t="n">
        <v>0.35</v>
      </c>
      <c r="E9" s="26" t="n">
        <v>0.2</v>
      </c>
      <c r="F9" s="11" t="str">
        <f aca="false">IF(B9="","",IF(B9&gt;=D9,"Go",IF(B9&lt;E9,"Stop","Change")))</f>
        <v>Go</v>
      </c>
      <c r="G9" s="9"/>
    </row>
    <row r="10" customFormat="false" ht="15" hidden="false" customHeight="false" outlineLevel="0" collapsed="false">
      <c r="A10" s="5" t="s">
        <v>385</v>
      </c>
      <c r="B10" s="23" t="n">
        <f aca="false">IF(Settings!$B$4="",COUNTIFS(Businesses!$D$2:$D$301,Settings!$B$3,Businesses!$L$2:$L$301,TRUE()),MIN(COUNTIFS(Businesses!$D$2:$D$301,Settings!$B$3,Businesses!$L$2:$L$301,TRUE()),COUNTIFS(Businesses!$D$2:$D$301,Settings!$B$4,Businesses!$L$2:$L$301,TRUE())))</f>
        <v>5</v>
      </c>
      <c r="C10" s="5" t="s">
        <v>372</v>
      </c>
      <c r="D10" s="24" t="n">
        <v>3</v>
      </c>
      <c r="E10" s="24" t="n">
        <v>2</v>
      </c>
      <c r="F10" s="11" t="str">
        <f aca="false">IF(B10="","",IF(B10&gt;=D10,"Go",IF(B10&lt;E10,"Stop","Change")))</f>
        <v>Go</v>
      </c>
      <c r="G10" s="9" t="s">
        <v>386</v>
      </c>
    </row>
    <row r="11" customFormat="false" ht="15" hidden="false" customHeight="false" outlineLevel="0" collapsed="false">
      <c r="A11" s="5" t="s">
        <v>387</v>
      </c>
      <c r="B11" s="23" t="n">
        <f aca="false">COUNTIF(Businesses!$J$2:$J$301,"Y")</f>
        <v>11</v>
      </c>
      <c r="C11" s="5" t="s">
        <v>372</v>
      </c>
      <c r="D11" s="24" t="n">
        <v>10</v>
      </c>
      <c r="E11" s="24" t="n">
        <v>5</v>
      </c>
      <c r="F11" s="11" t="str">
        <f aca="false">IF(B11="","",IF(B11&gt;=D11,"Go",IF(B11&lt;E11,"Stop","Change")))</f>
        <v>Go</v>
      </c>
      <c r="G11" s="9" t="s">
        <v>388</v>
      </c>
    </row>
    <row r="12" customFormat="false" ht="15" hidden="false" customHeight="false" outlineLevel="0" collapsed="false">
      <c r="A12" s="5" t="s">
        <v>389</v>
      </c>
      <c r="B12" s="25" t="n">
        <f aca="false">IFERROR(COUNTIFS(Businesses!$J$2:$J$301,"Y",Businesses!$L$2:$L$301,TRUE())/COUNTIF(Businesses!$J$2:$J$301,"Y"),0)</f>
        <v>0.818181818181818</v>
      </c>
      <c r="C12" s="5" t="s">
        <v>372</v>
      </c>
      <c r="D12" s="26" t="n">
        <v>0.6</v>
      </c>
      <c r="E12" s="26" t="n">
        <v>0.3</v>
      </c>
      <c r="F12" s="11" t="str">
        <f aca="false">IF(B12="","",IF(B12&gt;=D12,"Go",IF(B12&lt;E12,"Stop","Change")))</f>
        <v>Go</v>
      </c>
      <c r="G12" s="9"/>
    </row>
    <row r="13" customFormat="false" ht="15" hidden="false" customHeight="false" outlineLevel="0" collapsed="false">
      <c r="A13" s="5" t="s">
        <v>390</v>
      </c>
      <c r="B13" s="23" t="n">
        <f aca="false">SUM(Picks!$K$2:$K$301)</f>
        <v>3</v>
      </c>
      <c r="C13" s="5" t="s">
        <v>372</v>
      </c>
      <c r="D13" s="24" t="n">
        <v>5</v>
      </c>
      <c r="E13" s="24" t="n">
        <v>1</v>
      </c>
      <c r="F13" s="11" t="str">
        <f aca="false">IF(B13="","",IF(B13&gt;=D13,"Go",IF(B13&lt;E13,"Stop","Change")))</f>
        <v>Change</v>
      </c>
      <c r="G13" s="9" t="s">
        <v>391</v>
      </c>
    </row>
    <row r="14" customFormat="false" ht="15" hidden="false" customHeight="false" outlineLevel="0" collapsed="false">
      <c r="A14" s="5" t="s">
        <v>392</v>
      </c>
      <c r="B14" s="23" t="n">
        <f aca="false">COUNTIF(Picks!$H$2:$H$301,"Refused")</f>
        <v>1</v>
      </c>
      <c r="C14" s="5" t="s">
        <v>381</v>
      </c>
      <c r="D14" s="24" t="n">
        <v>1</v>
      </c>
      <c r="E14" s="24" t="n">
        <v>3</v>
      </c>
      <c r="F14" s="11" t="str">
        <f aca="false">IF(B14="","",IF(B14&lt;=D14,"Go",IF(B14&gt;E14,"Stop","Change")))</f>
        <v>Go</v>
      </c>
      <c r="G14" s="9" t="s">
        <v>393</v>
      </c>
    </row>
    <row r="15" customFormat="false" ht="15" hidden="false" customHeight="false" outlineLevel="0" collapsed="false">
      <c r="A15" s="5" t="s">
        <v>394</v>
      </c>
      <c r="B15" s="28" t="n">
        <f aca="false">IFERROR((COUNTIFS(Requests!$O$2:$O$301,TRUE(),Requests!$M$2:$M$301,"&gt;=1",Requests!$C$2:$C$301,"&gt;=4")/COUNTIFS(Requests!$O$2:$O$301,TRUE(),Requests!$C$2:$C$301,"&gt;=4"))/(COUNTIFS(Requests!$O$2:$O$301,TRUE(),Requests!$M$2:$M$301,"&gt;=1",Requests!$C$2:$C$301,"&lt;=3")/COUNTIFS(Requests!$O$2:$O$301,TRUE(),Requests!$C$2:$C$301,"&lt;=3")),"")</f>
        <v>1.12</v>
      </c>
      <c r="C15" s="5" t="s">
        <v>372</v>
      </c>
      <c r="D15" s="29" t="n">
        <v>0.9</v>
      </c>
      <c r="E15" s="29" t="n">
        <v>0.6</v>
      </c>
      <c r="F15" s="11" t="str">
        <f aca="false">IF(B15="","",IF(B15&gt;=D15,"Go",IF(B15&lt;E15,"Stop","Change")))</f>
        <v>Go</v>
      </c>
      <c r="G15" s="9" t="s">
        <v>395</v>
      </c>
    </row>
    <row r="16" customFormat="false" ht="15" hidden="false" customHeight="false" outlineLevel="0" collapsed="false">
      <c r="A16" s="5" t="s">
        <v>396</v>
      </c>
      <c r="B16" s="23" t="n">
        <f aca="false">IFERROR(AVERAGEIFS(Requests!$R$2:$R$301,Requests!$C$2:$C$301,"&gt;=4"),"")</f>
        <v>23.3333333333333</v>
      </c>
      <c r="C16" s="5" t="s">
        <v>381</v>
      </c>
      <c r="D16" s="24" t="n">
        <v>30</v>
      </c>
      <c r="E16" s="24" t="n">
        <v>45</v>
      </c>
      <c r="F16" s="11" t="str">
        <f aca="false">IF(B16="","",IF(B16&lt;=D16,"Go",IF(B16&gt;E16,"Stop","Change")))</f>
        <v>Go</v>
      </c>
      <c r="G16" s="9"/>
    </row>
    <row r="17" customFormat="false" ht="15" hidden="false" customHeight="false" outlineLevel="0" collapsed="false">
      <c r="A17" s="5" t="s">
        <v>397</v>
      </c>
      <c r="B17" s="17" t="n">
        <f aca="false">IFERROR(AVERAGE(Weekly!F5:F7),"")</f>
        <v>3.75</v>
      </c>
      <c r="C17" s="5" t="s">
        <v>381</v>
      </c>
      <c r="D17" s="27" t="n">
        <v>5</v>
      </c>
      <c r="E17" s="27" t="n">
        <v>8</v>
      </c>
      <c r="F17" s="11" t="str">
        <f aca="false">IF(B17="","",IF(B17&lt;=D17,"Go",IF(B17&gt;E17,"Stop","Change")))</f>
        <v>Go</v>
      </c>
      <c r="G17" s="9"/>
    </row>
    <row r="18" customFormat="false" ht="15" hidden="false" customHeight="false" outlineLevel="0" collapsed="false">
      <c r="A18" s="8"/>
      <c r="B18" s="8"/>
      <c r="C18" s="8"/>
      <c r="D18" s="8"/>
      <c r="E18" s="8"/>
      <c r="F18" s="8"/>
      <c r="G18" s="8"/>
    </row>
    <row r="19" customFormat="false" ht="15" hidden="false" customHeight="false" outlineLevel="0" collapsed="false">
      <c r="A19" s="9" t="s">
        <v>398</v>
      </c>
      <c r="B19" s="8"/>
      <c r="C19" s="8"/>
      <c r="D19" s="8"/>
      <c r="E19" s="8"/>
      <c r="F19" s="8"/>
      <c r="G19" s="8"/>
    </row>
    <row r="20" customFormat="false" ht="15" hidden="false" customHeight="false" outlineLevel="0" collapsed="false">
      <c r="A20" s="9" t="s">
        <v>399</v>
      </c>
      <c r="B20" s="8"/>
      <c r="C20" s="8"/>
      <c r="D20" s="8"/>
      <c r="E20" s="8"/>
      <c r="F20" s="8"/>
      <c r="G20" s="8"/>
    </row>
    <row r="21" customFormat="false" ht="15" hidden="false" customHeight="false" outlineLevel="0" collapsed="false">
      <c r="A21" s="9" t="s">
        <v>400</v>
      </c>
      <c r="B21" s="8"/>
      <c r="C21" s="8"/>
      <c r="D21" s="8"/>
      <c r="E21" s="8"/>
      <c r="F21" s="8"/>
      <c r="G21" s="8"/>
    </row>
  </sheetData>
  <conditionalFormatting sqref="F2:F17">
    <cfRule type="expression" priority="2" aboveAverage="0" equalAverage="0" bottom="0" percent="0" rank="0" text="" dxfId="0">
      <formula>F2="Go"</formula>
    </cfRule>
    <cfRule type="expression" priority="3" aboveAverage="0" equalAverage="0" bottom="0" percent="0" rank="0" text="" dxfId="1">
      <formula>F2="Change"</formula>
    </cfRule>
    <cfRule type="expression" priority="4" aboveAverage="0" equalAverage="0" bottom="0" percent="0" rank="0" text="" dxfId="2">
      <formula>F2="Stop"</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2026-10-29T00:44:04Z</dcterms:created>
  <dc:creator>openpyxl</dc:creator>
  <dc:description/>
  <dc:language>en-US</dc:language>
  <cp:lastModifiedBy/>
  <dcterms:modified xsi:type="dcterms:W3CDTF">2026-10-29T00:44:04Z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